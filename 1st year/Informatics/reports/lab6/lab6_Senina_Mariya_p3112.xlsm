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426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senin\Desktop\ITMO\Informatics\Отчёты\"/>
    </mc:Choice>
  </mc:AlternateContent>
  <xr:revisionPtr revIDLastSave="0" documentId="13_ncr:1_{F0B950B0-EE2D-4448-9F98-558B80E856C6}" xr6:coauthVersionLast="45" xr6:coauthVersionMax="45" xr10:uidLastSave="{00000000-0000-0000-0000-000000000000}"/>
  <bookViews>
    <workbookView xWindow="-110" yWindow="-110" windowWidth="19420" windowHeight="10420" activeTab="4" xr2:uid="{287E4B88-5E0F-46DA-AFB2-F43C72155E1E}"/>
  </bookViews>
  <sheets>
    <sheet name="A(2)" sheetId="1" r:id="rId1"/>
    <sheet name="B(4)" sheetId="2" r:id="rId2"/>
    <sheet name="D(4)" sheetId="3" r:id="rId3"/>
    <sheet name="E(97)" sheetId="4" r:id="rId4"/>
    <sheet name="G(2)" sheetId="5" r:id="rId5"/>
  </sheets>
  <definedNames>
    <definedName name="_xlnm._FilterDatabase" localSheetId="2" hidden="1">'D(4)'!$A$1:$H$16</definedName>
    <definedName name="радиодетали">'D(4)'!$B$2:$B$13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0" i="1" l="1"/>
  <c r="C30" i="1"/>
  <c r="D28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11" i="1"/>
  <c r="C12" i="1"/>
  <c r="C13" i="1"/>
  <c r="C14" i="1"/>
  <c r="C15" i="1"/>
  <c r="C16" i="1"/>
  <c r="C17" i="1"/>
  <c r="C18" i="1"/>
  <c r="C19" i="1"/>
  <c r="C20" i="1"/>
  <c r="C21" i="1"/>
  <c r="C22" i="1"/>
  <c r="C23" i="1"/>
  <c r="C24" i="1"/>
  <c r="C25" i="1"/>
  <c r="C26" i="1"/>
  <c r="C27" i="1"/>
  <c r="C11" i="1"/>
  <c r="B16" i="1"/>
  <c r="B17" i="1"/>
  <c r="B18" i="1"/>
  <c r="B19" i="1" s="1"/>
  <c r="B20" i="1" s="1"/>
  <c r="B21" i="1" s="1"/>
  <c r="B22" i="1" s="1"/>
  <c r="B23" i="1" s="1"/>
  <c r="B24" i="1" s="1"/>
  <c r="B25" i="1" s="1"/>
  <c r="B26" i="1" s="1"/>
  <c r="B27" i="1" s="1"/>
  <c r="B14" i="1"/>
  <c r="B15" i="1" s="1"/>
  <c r="B13" i="1"/>
  <c r="B12" i="1"/>
  <c r="B11" i="1"/>
  <c r="J20" i="4" l="1"/>
  <c r="J4" i="4"/>
  <c r="J5" i="4"/>
  <c r="J6" i="4"/>
  <c r="J7" i="4"/>
  <c r="J8" i="4"/>
  <c r="J9" i="4"/>
  <c r="J10" i="4"/>
  <c r="J11" i="4"/>
  <c r="J12" i="4"/>
  <c r="J13" i="4"/>
  <c r="J14" i="4"/>
  <c r="J15" i="4"/>
  <c r="J16" i="4"/>
  <c r="J17" i="4"/>
  <c r="J18" i="4"/>
  <c r="J19" i="4"/>
  <c r="J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3" i="4"/>
  <c r="G13" i="2" l="1"/>
  <c r="G11" i="2"/>
  <c r="G12" i="2"/>
  <c r="G14" i="2"/>
  <c r="G15" i="2"/>
  <c r="G10" i="2"/>
  <c r="F16" i="2"/>
  <c r="C29" i="1" l="1"/>
  <c r="D29" i="1"/>
  <c r="C28" i="1"/>
  <c r="G16" i="2"/>
</calcChain>
</file>

<file path=xl/sharedStrings.xml><?xml version="1.0" encoding="utf-8"?>
<sst xmlns="http://schemas.openxmlformats.org/spreadsheetml/2006/main" count="192" uniqueCount="142">
  <si>
    <t>Максимальное значение аргумента:</t>
  </si>
  <si>
    <t>Минимальное значение аргумента:</t>
  </si>
  <si>
    <t>Шаг изменения аргумента:</t>
  </si>
  <si>
    <t>Искомое значение:</t>
  </si>
  <si>
    <t>Рассчёт выражения на заданном интервале</t>
  </si>
  <si>
    <t>Аргумент Х</t>
  </si>
  <si>
    <t>Значение выражения</t>
  </si>
  <si>
    <t>Минимальное значение выражения</t>
  </si>
  <si>
    <t>Количество искомых значений</t>
  </si>
  <si>
    <t>Максимальное значение выражения</t>
  </si>
  <si>
    <t>при А=15</t>
  </si>
  <si>
    <t>при А=-5</t>
  </si>
  <si>
    <t>ЗАЯВКА на учебные пособия</t>
  </si>
  <si>
    <t>№ п/п</t>
  </si>
  <si>
    <t>Учебное пособие</t>
  </si>
  <si>
    <t>Наименование</t>
  </si>
  <si>
    <t>Курс</t>
  </si>
  <si>
    <t>Автор</t>
  </si>
  <si>
    <t>Ст-ть е., руб</t>
  </si>
  <si>
    <t>Итого сумма</t>
  </si>
  <si>
    <t>Требуемое количество</t>
  </si>
  <si>
    <t>I</t>
  </si>
  <si>
    <t>II</t>
  </si>
  <si>
    <t>III</t>
  </si>
  <si>
    <t>IV</t>
  </si>
  <si>
    <t>V</t>
  </si>
  <si>
    <t>VI</t>
  </si>
  <si>
    <t>VII</t>
  </si>
  <si>
    <t>Введение в миркоЭВМ</t>
  </si>
  <si>
    <t>Архитектура базовой ЭВМ</t>
  </si>
  <si>
    <t>Конспект по математике</t>
  </si>
  <si>
    <t>Конспект по ОВТ</t>
  </si>
  <si>
    <t>Архив лекций по информатике</t>
  </si>
  <si>
    <t>Методические указания по дискретной математике</t>
  </si>
  <si>
    <t>Приблуда А.А.</t>
  </si>
  <si>
    <t>Кириллов В.В.</t>
  </si>
  <si>
    <t>Холодова С.Е</t>
  </si>
  <si>
    <t>Клименков С.В.</t>
  </si>
  <si>
    <t>Поляков В.И.</t>
  </si>
  <si>
    <t>Итого:</t>
  </si>
  <si>
    <t>Балакшин П.В., Ссснин В.В.</t>
  </si>
  <si>
    <t>Номер</t>
  </si>
  <si>
    <t>Характеристика</t>
  </si>
  <si>
    <t>Страна-производитель</t>
  </si>
  <si>
    <t>Дата изготовления</t>
  </si>
  <si>
    <t>Поставщик</t>
  </si>
  <si>
    <t>Цена</t>
  </si>
  <si>
    <t>Тип радиодитали</t>
  </si>
  <si>
    <t>Завод изготовитель</t>
  </si>
  <si>
    <t xml:space="preserve">Конденсатор </t>
  </si>
  <si>
    <t>Резистр</t>
  </si>
  <si>
    <t>Транзистор</t>
  </si>
  <si>
    <t>Светодиод</t>
  </si>
  <si>
    <t xml:space="preserve">Плоский </t>
  </si>
  <si>
    <t>Целиндрический</t>
  </si>
  <si>
    <t>Сферический</t>
  </si>
  <si>
    <t>Варристор</t>
  </si>
  <si>
    <t>Терморезистор</t>
  </si>
  <si>
    <t>Фоторезистор</t>
  </si>
  <si>
    <t>Тензорезистор</t>
  </si>
  <si>
    <t>Магниторезистор</t>
  </si>
  <si>
    <t>Германиевый</t>
  </si>
  <si>
    <t>Кремниевый</t>
  </si>
  <si>
    <t>Арсенид-галлиевый</t>
  </si>
  <si>
    <t>США</t>
  </si>
  <si>
    <t>Китай</t>
  </si>
  <si>
    <t>Vishay Intertechnology</t>
  </si>
  <si>
    <t>Cooper Industries</t>
  </si>
  <si>
    <t>Spectrol Reliance</t>
  </si>
  <si>
    <t>Англия</t>
  </si>
  <si>
    <t>Блэк Маунтин</t>
  </si>
  <si>
    <t>Россия</t>
  </si>
  <si>
    <t>Фабрика Коробкова</t>
  </si>
  <si>
    <t>ИТМО high-tech-delivery</t>
  </si>
  <si>
    <t>EPCOS AG</t>
  </si>
  <si>
    <t>Метровагонмаш</t>
  </si>
  <si>
    <t>VPG MicroMeasu</t>
  </si>
  <si>
    <t> НИИ "Гириконд"</t>
  </si>
  <si>
    <t xml:space="preserve"> НИИ "Гириконд"</t>
  </si>
  <si>
    <t>МикроКомп</t>
  </si>
  <si>
    <t> АО «ГРУППА КРЕМНИЙ ЭЛ»</t>
  </si>
  <si>
    <t>"Электроника и связь"</t>
  </si>
  <si>
    <t> G-nor Electronics</t>
  </si>
  <si>
    <t>Круглый</t>
  </si>
  <si>
    <t>Betlux Electronics</t>
  </si>
  <si>
    <t>Прямоугольный</t>
  </si>
  <si>
    <t>Пиранья</t>
  </si>
  <si>
    <t>SMD</t>
  </si>
  <si>
    <t> Shenzhen Shining Opto-Electronic Co., Ltd.</t>
  </si>
  <si>
    <t> Shenzhen Shining</t>
  </si>
  <si>
    <t>Спартак</t>
  </si>
  <si>
    <t>Ротор</t>
  </si>
  <si>
    <t>Динамо</t>
  </si>
  <si>
    <t>Шинник</t>
  </si>
  <si>
    <t>Локомотив М</t>
  </si>
  <si>
    <t>Черноморец</t>
  </si>
  <si>
    <t>Крылья Советов</t>
  </si>
  <si>
    <t>Зенит</t>
  </si>
  <si>
    <t>Балтика</t>
  </si>
  <si>
    <t>Алания</t>
  </si>
  <si>
    <t>Торпедо-Лужники</t>
  </si>
  <si>
    <t>ЦСКА</t>
  </si>
  <si>
    <t>Ростсельмаш</t>
  </si>
  <si>
    <t>Жемчужина</t>
  </si>
  <si>
    <t>Тюмень</t>
  </si>
  <si>
    <t>Факел</t>
  </si>
  <si>
    <t>Локомотив НН</t>
  </si>
  <si>
    <t>КАМАЗ-Чаллы</t>
  </si>
  <si>
    <t>Место</t>
  </si>
  <si>
    <t>Клуб</t>
  </si>
  <si>
    <t>Игры</t>
  </si>
  <si>
    <t>Выигрыш</t>
  </si>
  <si>
    <t>Ничья</t>
  </si>
  <si>
    <t>Поражение</t>
  </si>
  <si>
    <t>Забитые мячи</t>
  </si>
  <si>
    <t>Пропущенные мячи</t>
  </si>
  <si>
    <t>Разница</t>
  </si>
  <si>
    <t>Очки</t>
  </si>
  <si>
    <t>Введите дату</t>
  </si>
  <si>
    <t>Дата</t>
  </si>
  <si>
    <t>День недели</t>
  </si>
  <si>
    <t>Начало пары</t>
  </si>
  <si>
    <t>Конец пары</t>
  </si>
  <si>
    <t>Дисциплина</t>
  </si>
  <si>
    <t>Ауд.</t>
  </si>
  <si>
    <t>Понедельник</t>
  </si>
  <si>
    <t>Информатика (лаба)</t>
  </si>
  <si>
    <t>Программирование (лаба)</t>
  </si>
  <si>
    <t>ОПД (лаба)</t>
  </si>
  <si>
    <t>Физика (лек)</t>
  </si>
  <si>
    <t>Физика (прак)</t>
  </si>
  <si>
    <t>Англ. Яз</t>
  </si>
  <si>
    <t>Дискретная математика (прак)</t>
  </si>
  <si>
    <t>369а</t>
  </si>
  <si>
    <t>Дискретная математика (лек)</t>
  </si>
  <si>
    <t>Математика (базовый уровень) (Лек)</t>
  </si>
  <si>
    <t>актовый зал</t>
  </si>
  <si>
    <t>Информатика (Лек)</t>
  </si>
  <si>
    <t>Программирование (лек)</t>
  </si>
  <si>
    <t>ОПД (лек)</t>
  </si>
  <si>
    <t>Математика (базовый уровень) (Прак)</t>
  </si>
  <si>
    <t>первый день на первой  учебной неделе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</si>
</sst>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\ &quot;₽&quot;"/>
    <numFmt numFmtId="165" formatCode="_-* #,##0.00\ _₽_-;\-* #,##0.00\ _₽_-;_-* &quot;-&quot;??\ _₽_-;_-@_-"/>
    <numFmt numFmtId="166" formatCode="0;\-0;;@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4"/>
      <color theme="1"/>
      <name val="Calibri"/>
      <family val="2"/>
      <charset val="204"/>
      <scheme val="minor"/>
    </font>
    <font>
      <b/>
      <i/>
      <sz val="11"/>
      <color theme="1"/>
      <name val="Calibri"/>
      <family val="2"/>
      <charset val="204"/>
      <scheme val="minor"/>
    </font>
    <font>
      <i/>
      <sz val="11"/>
      <color theme="1"/>
      <name val="Calibri"/>
      <family val="2"/>
      <charset val="204"/>
      <scheme val="minor"/>
    </font>
    <font>
      <b/>
      <i/>
      <sz val="14"/>
      <color theme="1"/>
      <name val="Calibri"/>
      <family val="2"/>
      <charset val="204"/>
      <scheme val="minor"/>
    </font>
    <font>
      <sz val="11"/>
      <color theme="1"/>
      <name val="Consolas"/>
      <family val="3"/>
      <charset val="204"/>
    </font>
    <font>
      <u/>
      <sz val="11"/>
      <color theme="10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Dashed">
        <color indexed="64"/>
      </bottom>
      <diagonal/>
    </border>
    <border>
      <left style="medium">
        <color indexed="64"/>
      </left>
      <right style="medium">
        <color indexed="64"/>
      </right>
      <top style="mediumDashed">
        <color indexed="64"/>
      </top>
      <bottom style="mediumDashed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indexed="64"/>
      </right>
      <top style="medium">
        <color indexed="64"/>
      </top>
      <bottom style="medium">
        <color indexed="64"/>
      </bottom>
      <diagonal/>
    </border>
    <border>
      <left/>
      <right style="mediumDashed">
        <color indexed="64"/>
      </right>
      <top/>
      <bottom/>
      <diagonal/>
    </border>
    <border>
      <left style="mediumDashed">
        <color indexed="64"/>
      </left>
      <right/>
      <top/>
      <bottom/>
      <diagonal/>
    </border>
    <border>
      <left style="mediumDashed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dotted">
        <color indexed="64"/>
      </top>
      <bottom style="dotted">
        <color indexed="64"/>
      </bottom>
      <diagonal/>
    </border>
    <border>
      <left style="mediumDashed">
        <color indexed="64"/>
      </left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dotted">
        <color indexed="64"/>
      </bottom>
      <diagonal/>
    </border>
    <border>
      <left/>
      <right style="mediumDashed">
        <color indexed="64"/>
      </right>
      <top style="dotted">
        <color indexed="64"/>
      </top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/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/>
      <top style="dotted">
        <color indexed="64"/>
      </top>
      <bottom style="medium">
        <color indexed="64"/>
      </bottom>
      <diagonal/>
    </border>
    <border>
      <left style="mediumDashed">
        <color indexed="64"/>
      </left>
      <right/>
      <top style="dotted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dotted">
        <color indexed="64"/>
      </top>
      <bottom style="medium">
        <color indexed="64"/>
      </bottom>
      <diagonal/>
    </border>
    <border>
      <left/>
      <right style="mediumDashed">
        <color indexed="64"/>
      </right>
      <top style="dotted">
        <color indexed="64"/>
      </top>
      <bottom style="medium">
        <color indexed="64"/>
      </bottom>
      <diagonal/>
    </border>
    <border>
      <left/>
      <right/>
      <top style="dotted">
        <color indexed="64"/>
      </top>
      <bottom style="medium">
        <color indexed="64"/>
      </bottom>
      <diagonal/>
    </border>
    <border>
      <left/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Dashed">
        <color indexed="64"/>
      </left>
      <right/>
      <top/>
      <bottom style="thin">
        <color indexed="64"/>
      </bottom>
      <diagonal/>
    </border>
    <border>
      <left/>
      <right style="mediumDashed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8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0" xfId="0" applyBorder="1"/>
    <xf numFmtId="0" fontId="0" fillId="0" borderId="0" xfId="0" applyAlignment="1">
      <alignment horizontal="right"/>
    </xf>
    <xf numFmtId="0" fontId="1" fillId="0" borderId="0" xfId="0" applyFont="1"/>
    <xf numFmtId="0" fontId="0" fillId="0" borderId="0" xfId="0" applyAlignment="1">
      <alignment wrapText="1"/>
    </xf>
    <xf numFmtId="0" fontId="0" fillId="0" borderId="10" xfId="0" applyBorder="1"/>
    <xf numFmtId="0" fontId="0" fillId="0" borderId="12" xfId="0" applyBorder="1"/>
    <xf numFmtId="0" fontId="0" fillId="0" borderId="12" xfId="0" applyBorder="1" applyAlignment="1">
      <alignment horizontal="center" vertical="center" wrapText="1"/>
    </xf>
    <xf numFmtId="0" fontId="4" fillId="0" borderId="0" xfId="0" applyFont="1" applyAlignment="1">
      <alignment horizontal="right"/>
    </xf>
    <xf numFmtId="0" fontId="3" fillId="0" borderId="12" xfId="0" applyFont="1" applyBorder="1" applyAlignment="1">
      <alignment horizontal="right" vertical="center" wrapText="1"/>
    </xf>
    <xf numFmtId="0" fontId="3" fillId="0" borderId="14" xfId="0" applyFont="1" applyBorder="1" applyAlignment="1">
      <alignment horizontal="right" vertical="center" wrapText="1"/>
    </xf>
    <xf numFmtId="2" fontId="0" fillId="0" borderId="0" xfId="0" applyNumberFormat="1"/>
    <xf numFmtId="2" fontId="2" fillId="0" borderId="0" xfId="0" applyNumberFormat="1" applyFont="1"/>
    <xf numFmtId="2" fontId="3" fillId="0" borderId="8" xfId="0" applyNumberFormat="1" applyFont="1" applyBorder="1"/>
    <xf numFmtId="2" fontId="3" fillId="0" borderId="9" xfId="0" applyNumberFormat="1" applyFont="1" applyBorder="1"/>
    <xf numFmtId="2" fontId="0" fillId="0" borderId="17" xfId="0" applyNumberFormat="1" applyBorder="1"/>
    <xf numFmtId="2" fontId="0" fillId="0" borderId="11" xfId="0" applyNumberFormat="1" applyBorder="1"/>
    <xf numFmtId="2" fontId="0" fillId="0" borderId="18" xfId="0" applyNumberFormat="1" applyBorder="1"/>
    <xf numFmtId="2" fontId="0" fillId="0" borderId="13" xfId="0" applyNumberFormat="1" applyBorder="1"/>
    <xf numFmtId="2" fontId="0" fillId="0" borderId="15" xfId="0" applyNumberFormat="1" applyBorder="1"/>
    <xf numFmtId="165" fontId="0" fillId="0" borderId="0" xfId="0" applyNumberFormat="1" applyBorder="1"/>
    <xf numFmtId="0" fontId="6" fillId="0" borderId="21" xfId="0" applyFont="1" applyBorder="1" applyAlignment="1">
      <alignment vertical="center" wrapText="1"/>
    </xf>
    <xf numFmtId="0" fontId="6" fillId="0" borderId="27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6" fillId="0" borderId="24" xfId="0" applyFont="1" applyFill="1" applyBorder="1" applyAlignment="1">
      <alignment vertical="center" wrapText="1"/>
    </xf>
    <xf numFmtId="0" fontId="6" fillId="0" borderId="22" xfId="0" applyFont="1" applyFill="1" applyBorder="1" applyAlignment="1">
      <alignment vertical="center" wrapText="1"/>
    </xf>
    <xf numFmtId="0" fontId="6" fillId="0" borderId="16" xfId="0" applyFont="1" applyFill="1" applyBorder="1" applyAlignment="1">
      <alignment vertical="center" wrapText="1"/>
    </xf>
    <xf numFmtId="0" fontId="6" fillId="0" borderId="23" xfId="0" applyFont="1" applyBorder="1" applyAlignment="1">
      <alignment vertical="center" wrapText="1"/>
    </xf>
    <xf numFmtId="0" fontId="0" fillId="0" borderId="26" xfId="0" applyBorder="1" applyAlignment="1">
      <alignment horizontal="left" vertical="center" wrapText="1"/>
    </xf>
    <xf numFmtId="0" fontId="0" fillId="0" borderId="25" xfId="0" applyBorder="1" applyAlignment="1">
      <alignment horizontal="left" vertical="center" wrapText="1"/>
    </xf>
    <xf numFmtId="165" fontId="0" fillId="0" borderId="0" xfId="0" applyNumberFormat="1" applyBorder="1" applyAlignment="1">
      <alignment vertical="center" wrapText="1"/>
    </xf>
    <xf numFmtId="1" fontId="0" fillId="0" borderId="18" xfId="0" applyNumberFormat="1" applyFill="1" applyBorder="1" applyAlignment="1">
      <alignment horizontal="center" vertical="center" wrapText="1"/>
    </xf>
    <xf numFmtId="0" fontId="0" fillId="0" borderId="29" xfId="0" applyFill="1" applyBorder="1" applyAlignment="1">
      <alignment horizontal="left" vertical="center" wrapText="1"/>
    </xf>
    <xf numFmtId="0" fontId="0" fillId="0" borderId="31" xfId="0" applyFill="1" applyBorder="1" applyAlignment="1">
      <alignment horizontal="left" vertical="center" wrapText="1"/>
    </xf>
    <xf numFmtId="165" fontId="0" fillId="0" borderId="32" xfId="0" applyNumberFormat="1" applyBorder="1" applyAlignment="1">
      <alignment vertical="center" wrapText="1"/>
    </xf>
    <xf numFmtId="1" fontId="0" fillId="0" borderId="30" xfId="0" applyNumberFormat="1" applyFill="1" applyBorder="1" applyAlignment="1">
      <alignment horizontal="center" vertical="center" wrapText="1"/>
    </xf>
    <xf numFmtId="0" fontId="0" fillId="0" borderId="26" xfId="0" applyFill="1" applyBorder="1" applyAlignment="1">
      <alignment horizontal="left" vertical="center" wrapText="1"/>
    </xf>
    <xf numFmtId="0" fontId="0" fillId="0" borderId="25" xfId="0" applyFill="1" applyBorder="1" applyAlignment="1">
      <alignment horizontal="left" vertical="center" wrapText="1"/>
    </xf>
    <xf numFmtId="0" fontId="0" fillId="0" borderId="35" xfId="0" applyBorder="1" applyAlignment="1">
      <alignment horizontal="left" vertical="center" wrapText="1"/>
    </xf>
    <xf numFmtId="0" fontId="0" fillId="0" borderId="37" xfId="0" applyBorder="1" applyAlignment="1">
      <alignment horizontal="left" vertical="center" wrapText="1"/>
    </xf>
    <xf numFmtId="165" fontId="0" fillId="0" borderId="38" xfId="0" applyNumberFormat="1" applyBorder="1" applyAlignment="1">
      <alignment vertical="center" wrapText="1"/>
    </xf>
    <xf numFmtId="1" fontId="0" fillId="0" borderId="36" xfId="0" applyNumberFormat="1" applyBorder="1" applyAlignment="1">
      <alignment horizontal="center" vertical="center" wrapText="1"/>
    </xf>
    <xf numFmtId="0" fontId="0" fillId="0" borderId="21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1" fillId="0" borderId="12" xfId="0" applyFont="1" applyBorder="1" applyAlignment="1">
      <alignment vertical="center" wrapText="1"/>
    </xf>
    <xf numFmtId="0" fontId="1" fillId="0" borderId="26" xfId="0" applyFont="1" applyBorder="1" applyAlignment="1">
      <alignment vertical="center" wrapText="1"/>
    </xf>
    <xf numFmtId="0" fontId="1" fillId="0" borderId="19" xfId="0" applyFont="1" applyBorder="1" applyAlignment="1">
      <alignment vertical="center" wrapText="1"/>
    </xf>
    <xf numFmtId="0" fontId="1" fillId="0" borderId="25" xfId="0" applyFont="1" applyBorder="1" applyAlignment="1">
      <alignment vertical="center" wrapText="1"/>
    </xf>
    <xf numFmtId="0" fontId="0" fillId="0" borderId="28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30" xfId="0" applyBorder="1" applyAlignment="1">
      <alignment horizontal="center" vertical="center" wrapText="1"/>
    </xf>
    <xf numFmtId="0" fontId="0" fillId="0" borderId="30" xfId="0" applyFill="1" applyBorder="1" applyAlignment="1">
      <alignment horizontal="center" vertical="center" wrapText="1"/>
    </xf>
    <xf numFmtId="0" fontId="0" fillId="0" borderId="18" xfId="0" applyFill="1" applyBorder="1" applyAlignment="1">
      <alignment horizontal="center" vertical="center" wrapText="1"/>
    </xf>
    <xf numFmtId="0" fontId="0" fillId="0" borderId="36" xfId="0" applyBorder="1" applyAlignment="1">
      <alignment horizontal="center" vertical="center" wrapText="1"/>
    </xf>
    <xf numFmtId="0" fontId="1" fillId="0" borderId="22" xfId="0" applyFont="1" applyFill="1" applyBorder="1" applyAlignment="1">
      <alignment horizontal="right" vertical="center" wrapText="1"/>
    </xf>
    <xf numFmtId="166" fontId="1" fillId="3" borderId="13" xfId="0" applyNumberFormat="1" applyFont="1" applyFill="1" applyBorder="1" applyAlignment="1">
      <alignment vertical="center" wrapText="1"/>
    </xf>
    <xf numFmtId="166" fontId="1" fillId="3" borderId="33" xfId="0" applyNumberFormat="1" applyFont="1" applyFill="1" applyBorder="1" applyAlignment="1">
      <alignment vertical="center" wrapText="1"/>
    </xf>
    <xf numFmtId="166" fontId="1" fillId="3" borderId="39" xfId="0" applyNumberFormat="1" applyFont="1" applyFill="1" applyBorder="1" applyAlignment="1">
      <alignment vertical="center" wrapText="1"/>
    </xf>
    <xf numFmtId="166" fontId="1" fillId="3" borderId="23" xfId="0" applyNumberFormat="1" applyFont="1" applyFill="1" applyBorder="1" applyAlignment="1">
      <alignment vertical="center" wrapText="1"/>
    </xf>
    <xf numFmtId="166" fontId="1" fillId="3" borderId="16" xfId="0" applyNumberFormat="1" applyFont="1" applyFill="1" applyBorder="1" applyAlignment="1">
      <alignment vertical="center" wrapText="1"/>
    </xf>
    <xf numFmtId="164" fontId="0" fillId="0" borderId="0" xfId="0" applyNumberFormat="1"/>
    <xf numFmtId="14" fontId="0" fillId="0" borderId="0" xfId="0" applyNumberFormat="1"/>
    <xf numFmtId="0" fontId="7" fillId="0" borderId="0" xfId="1"/>
    <xf numFmtId="0" fontId="0" fillId="0" borderId="43" xfId="0" applyBorder="1"/>
    <xf numFmtId="14" fontId="0" fillId="0" borderId="43" xfId="0" applyNumberFormat="1" applyBorder="1"/>
    <xf numFmtId="0" fontId="1" fillId="0" borderId="43" xfId="0" applyFont="1" applyBorder="1" applyAlignment="1">
      <alignment vertical="center"/>
    </xf>
    <xf numFmtId="0" fontId="1" fillId="0" borderId="43" xfId="0" applyFont="1" applyBorder="1" applyAlignment="1">
      <alignment wrapText="1"/>
    </xf>
    <xf numFmtId="20" fontId="0" fillId="0" borderId="43" xfId="0" applyNumberFormat="1" applyBorder="1"/>
    <xf numFmtId="0" fontId="1" fillId="0" borderId="4" xfId="0" applyFont="1" applyBorder="1" applyAlignment="1">
      <alignment horizontal="center" vertical="center"/>
    </xf>
    <xf numFmtId="0" fontId="1" fillId="0" borderId="7" xfId="0" applyFont="1" applyBorder="1" applyAlignment="1">
      <alignment horizontal="center" vertical="center"/>
    </xf>
    <xf numFmtId="2" fontId="1" fillId="0" borderId="5" xfId="0" applyNumberFormat="1" applyFont="1" applyBorder="1" applyAlignment="1">
      <alignment horizontal="center"/>
    </xf>
    <xf numFmtId="2" fontId="1" fillId="0" borderId="6" xfId="0" applyNumberFormat="1" applyFont="1" applyBorder="1" applyAlignment="1">
      <alignment horizontal="center"/>
    </xf>
    <xf numFmtId="0" fontId="1" fillId="0" borderId="41" xfId="0" applyFont="1" applyBorder="1" applyAlignment="1">
      <alignment horizontal="center" vertical="center" wrapText="1"/>
    </xf>
    <xf numFmtId="0" fontId="1" fillId="0" borderId="40" xfId="0" applyFont="1" applyBorder="1" applyAlignment="1">
      <alignment horizontal="center" vertical="center" wrapText="1"/>
    </xf>
    <xf numFmtId="0" fontId="1" fillId="0" borderId="42" xfId="0" applyFont="1" applyBorder="1" applyAlignment="1">
      <alignment horizontal="center" vertical="center" wrapText="1"/>
    </xf>
    <xf numFmtId="0" fontId="1" fillId="0" borderId="0" xfId="0" applyFont="1" applyFill="1" applyBorder="1" applyAlignment="1">
      <alignment horizontal="center" vertical="center" wrapText="1"/>
    </xf>
    <xf numFmtId="0" fontId="1" fillId="0" borderId="18" xfId="0" applyFont="1" applyFill="1" applyBorder="1" applyAlignment="1">
      <alignment horizontal="center" vertical="center" wrapText="1"/>
    </xf>
    <xf numFmtId="0" fontId="1" fillId="0" borderId="13" xfId="0" applyFont="1" applyBorder="1" applyAlignment="1">
      <alignment horizontal="center" vertical="center" wrapText="1"/>
    </xf>
    <xf numFmtId="0" fontId="5" fillId="2" borderId="0" xfId="0" applyFont="1" applyFill="1" applyAlignment="1">
      <alignment horizontal="center" vertical="center"/>
    </xf>
    <xf numFmtId="0" fontId="5" fillId="2" borderId="20" xfId="0" applyFont="1" applyFill="1" applyBorder="1" applyAlignment="1">
      <alignment horizontal="center" vertical="center"/>
    </xf>
    <xf numFmtId="14" fontId="0" fillId="0" borderId="19" xfId="0" applyNumberFormat="1" applyBorder="1" applyAlignment="1">
      <alignment horizontal="center" vertical="center" textRotation="90"/>
    </xf>
    <xf numFmtId="0" fontId="0" fillId="0" borderId="18" xfId="0" applyBorder="1" applyAlignment="1">
      <alignment horizontal="center" vertical="center" textRotation="90"/>
    </xf>
    <xf numFmtId="0" fontId="0" fillId="0" borderId="44" xfId="0" applyBorder="1" applyAlignment="1">
      <alignment horizontal="center" vertical="center" textRotation="90"/>
    </xf>
    <xf numFmtId="0" fontId="0" fillId="0" borderId="19" xfId="0" applyBorder="1" applyAlignment="1">
      <alignment horizontal="center" vertical="center" textRotation="90"/>
    </xf>
    <xf numFmtId="0" fontId="0" fillId="0" borderId="45" xfId="0" applyBorder="1"/>
  </cellXfs>
  <cellStyles count="2">
    <cellStyle name="Гиперссылка" xfId="1" builtinId="8"/>
    <cellStyle name="Обычный" xfId="0" builtinId="0"/>
  </cellStyles>
  <dxfs count="7">
    <dxf>
      <fill>
        <patternFill>
          <bgColor rgb="FFFF0000"/>
        </patternFill>
      </fill>
    </dxf>
    <dxf>
      <fill>
        <patternFill>
          <bgColor theme="8"/>
        </patternFill>
      </fill>
    </dxf>
    <dxf>
      <fill>
        <patternFill>
          <bgColor theme="9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theme="7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95250</xdr:colOff>
          <xdr:row>0</xdr:row>
          <xdr:rowOff>101600</xdr:rowOff>
        </xdr:from>
        <xdr:to>
          <xdr:col>2</xdr:col>
          <xdr:colOff>234950</xdr:colOff>
          <xdr:row>3</xdr:row>
          <xdr:rowOff>12700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4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Создать новое </a:t>
              </a:r>
            </a:p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расписание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356A05-37AB-418C-904E-BFBC583BCE2F}">
  <sheetPr codeName="Лист1"/>
  <dimension ref="B1:F30"/>
  <sheetViews>
    <sheetView topLeftCell="A5" workbookViewId="0">
      <selection activeCell="G16" sqref="G16"/>
    </sheetView>
  </sheetViews>
  <sheetFormatPr defaultRowHeight="14.5" x14ac:dyDescent="0.35"/>
  <cols>
    <col min="2" max="2" width="15" customWidth="1"/>
    <col min="3" max="4" width="16" style="14" customWidth="1"/>
    <col min="6" max="6" width="12.90625" customWidth="1"/>
  </cols>
  <sheetData>
    <row r="1" spans="2:6" ht="15" thickBot="1" x14ac:dyDescent="0.4"/>
    <row r="2" spans="2:6" ht="15" thickBot="1" x14ac:dyDescent="0.4">
      <c r="E2" s="11" t="s">
        <v>1</v>
      </c>
      <c r="F2" s="2">
        <v>1</v>
      </c>
    </row>
    <row r="3" spans="2:6" ht="15" thickBot="1" x14ac:dyDescent="0.4">
      <c r="E3" s="11" t="s">
        <v>0</v>
      </c>
      <c r="F3" s="3">
        <v>17</v>
      </c>
    </row>
    <row r="4" spans="2:6" ht="15" thickBot="1" x14ac:dyDescent="0.4">
      <c r="E4" s="11" t="s">
        <v>2</v>
      </c>
      <c r="F4" s="3">
        <v>1</v>
      </c>
    </row>
    <row r="5" spans="2:6" ht="15" thickBot="1" x14ac:dyDescent="0.4">
      <c r="E5" s="11" t="s">
        <v>3</v>
      </c>
      <c r="F5" s="1">
        <v>1.24</v>
      </c>
    </row>
    <row r="6" spans="2:6" x14ac:dyDescent="0.35">
      <c r="E6" s="5"/>
      <c r="F6" s="4"/>
    </row>
    <row r="7" spans="2:6" ht="18.5" x14ac:dyDescent="0.45">
      <c r="B7" s="6"/>
      <c r="C7" s="15" t="s">
        <v>4</v>
      </c>
    </row>
    <row r="8" spans="2:6" ht="15" thickBot="1" x14ac:dyDescent="0.4"/>
    <row r="9" spans="2:6" x14ac:dyDescent="0.35">
      <c r="B9" s="72" t="s">
        <v>5</v>
      </c>
      <c r="C9" s="74" t="s">
        <v>6</v>
      </c>
      <c r="D9" s="75"/>
    </row>
    <row r="10" spans="2:6" ht="15" thickBot="1" x14ac:dyDescent="0.4">
      <c r="B10" s="73"/>
      <c r="C10" s="16" t="s">
        <v>10</v>
      </c>
      <c r="D10" s="17" t="s">
        <v>11</v>
      </c>
    </row>
    <row r="11" spans="2:6" ht="15" thickBot="1" x14ac:dyDescent="0.4">
      <c r="B11" s="8">
        <f>F2</f>
        <v>1</v>
      </c>
      <c r="C11" s="18">
        <f>ROUND(SQRT(ABS((B11/15)^2*15*COS(B11*15))), 2)</f>
        <v>0.23</v>
      </c>
      <c r="D11" s="19">
        <f>ROUND(SQRT(ABS((B11/(-5))^2*(-5)*COS(B11*(-5)))),2)</f>
        <v>0.24</v>
      </c>
    </row>
    <row r="12" spans="2:6" ht="15" thickBot="1" x14ac:dyDescent="0.4">
      <c r="B12" s="9">
        <f>F2+$F$4</f>
        <v>2</v>
      </c>
      <c r="C12" s="18">
        <f t="shared" ref="C12:C27" si="0">ROUND(SQRT(ABS((B12/15)^2*15*COS(B12*15))), 2)</f>
        <v>0.2</v>
      </c>
      <c r="D12" s="19">
        <f t="shared" ref="D12:D27" si="1">ROUND(SQRT(ABS((B12/(-5))^2*(-5)*COS(B12*(-5)))),2)</f>
        <v>0.82</v>
      </c>
    </row>
    <row r="13" spans="2:6" ht="15" thickBot="1" x14ac:dyDescent="0.4">
      <c r="B13" s="9">
        <f>B12+$F$4</f>
        <v>3</v>
      </c>
      <c r="C13" s="18">
        <f t="shared" si="0"/>
        <v>0.56000000000000005</v>
      </c>
      <c r="D13" s="19">
        <f t="shared" si="1"/>
        <v>1.17</v>
      </c>
    </row>
    <row r="14" spans="2:6" ht="15" thickBot="1" x14ac:dyDescent="0.4">
      <c r="B14" s="9">
        <f>B13+$F$4</f>
        <v>4</v>
      </c>
      <c r="C14" s="18">
        <f t="shared" si="0"/>
        <v>1.01</v>
      </c>
      <c r="D14" s="19">
        <f t="shared" si="1"/>
        <v>1.1399999999999999</v>
      </c>
    </row>
    <row r="15" spans="2:6" ht="15" thickBot="1" x14ac:dyDescent="0.4">
      <c r="B15" s="9">
        <f t="shared" ref="B15:B27" si="2">B14+$F$4</f>
        <v>5</v>
      </c>
      <c r="C15" s="18">
        <f t="shared" si="0"/>
        <v>1.24</v>
      </c>
      <c r="D15" s="19">
        <f t="shared" si="1"/>
        <v>2.23</v>
      </c>
    </row>
    <row r="16" spans="2:6" ht="15" thickBot="1" x14ac:dyDescent="0.4">
      <c r="B16" s="9">
        <f t="shared" si="2"/>
        <v>6</v>
      </c>
      <c r="C16" s="18">
        <f t="shared" si="0"/>
        <v>1.04</v>
      </c>
      <c r="D16" s="19">
        <f t="shared" si="1"/>
        <v>1.05</v>
      </c>
    </row>
    <row r="17" spans="2:4" ht="15" thickBot="1" x14ac:dyDescent="0.4">
      <c r="B17" s="9">
        <f>B16+$F$4</f>
        <v>7</v>
      </c>
      <c r="C17" s="18">
        <f t="shared" si="0"/>
        <v>0.89</v>
      </c>
      <c r="D17" s="19">
        <f t="shared" si="1"/>
        <v>2.98</v>
      </c>
    </row>
    <row r="18" spans="2:4" ht="15" thickBot="1" x14ac:dyDescent="0.4">
      <c r="B18" s="9">
        <f t="shared" ref="B17:B22" si="3">B17+$F$4</f>
        <v>8</v>
      </c>
      <c r="C18" s="18">
        <f t="shared" si="0"/>
        <v>1.86</v>
      </c>
      <c r="D18" s="19">
        <f t="shared" si="1"/>
        <v>2.92</v>
      </c>
    </row>
    <row r="19" spans="2:4" ht="15" thickBot="1" x14ac:dyDescent="0.4">
      <c r="B19" s="9">
        <f t="shared" si="2"/>
        <v>9</v>
      </c>
      <c r="C19" s="18">
        <f t="shared" si="0"/>
        <v>2.3199999999999998</v>
      </c>
      <c r="D19" s="19">
        <f t="shared" si="1"/>
        <v>2.92</v>
      </c>
    </row>
    <row r="20" spans="2:4" ht="15" thickBot="1" x14ac:dyDescent="0.4">
      <c r="B20" s="9">
        <f>B19+$F$4</f>
        <v>10</v>
      </c>
      <c r="C20" s="18">
        <f t="shared" si="0"/>
        <v>2.16</v>
      </c>
      <c r="D20" s="19">
        <f t="shared" si="1"/>
        <v>4.3899999999999997</v>
      </c>
    </row>
    <row r="21" spans="2:4" ht="15" thickBot="1" x14ac:dyDescent="0.4">
      <c r="B21" s="9">
        <f>B20+$F$4</f>
        <v>11</v>
      </c>
      <c r="C21" s="18">
        <f t="shared" si="0"/>
        <v>0.73</v>
      </c>
      <c r="D21" s="19">
        <f t="shared" si="1"/>
        <v>0.73</v>
      </c>
    </row>
    <row r="22" spans="2:4" ht="15" thickBot="1" x14ac:dyDescent="0.4">
      <c r="B22" s="9">
        <f>B21+$F$4</f>
        <v>12</v>
      </c>
      <c r="C22" s="18">
        <f t="shared" si="0"/>
        <v>2.4</v>
      </c>
      <c r="D22" s="19">
        <f t="shared" si="1"/>
        <v>5.24</v>
      </c>
    </row>
    <row r="23" spans="2:4" ht="15" thickBot="1" x14ac:dyDescent="0.4">
      <c r="B23" s="9">
        <f>B22+$F$4</f>
        <v>13</v>
      </c>
      <c r="C23" s="18">
        <f t="shared" si="0"/>
        <v>3.32</v>
      </c>
      <c r="D23" s="19">
        <f t="shared" si="1"/>
        <v>4.3600000000000003</v>
      </c>
    </row>
    <row r="24" spans="2:4" ht="15" thickBot="1" x14ac:dyDescent="0.4">
      <c r="B24" s="9">
        <f t="shared" ref="B24:B27" si="4">B23+$F$4</f>
        <v>14</v>
      </c>
      <c r="C24" s="18">
        <f t="shared" si="0"/>
        <v>3.4</v>
      </c>
      <c r="D24" s="19">
        <f t="shared" si="1"/>
        <v>4.9800000000000004</v>
      </c>
    </row>
    <row r="25" spans="2:4" ht="15" thickBot="1" x14ac:dyDescent="0.4">
      <c r="B25" s="9">
        <f t="shared" si="4"/>
        <v>15</v>
      </c>
      <c r="C25" s="18">
        <f t="shared" si="0"/>
        <v>2.35</v>
      </c>
      <c r="D25" s="19">
        <f t="shared" si="1"/>
        <v>6.44</v>
      </c>
    </row>
    <row r="26" spans="2:4" ht="15" thickBot="1" x14ac:dyDescent="0.4">
      <c r="B26" s="9">
        <f t="shared" si="4"/>
        <v>16</v>
      </c>
      <c r="C26" s="18">
        <f t="shared" si="0"/>
        <v>2.36</v>
      </c>
      <c r="D26" s="19">
        <f t="shared" si="1"/>
        <v>2.38</v>
      </c>
    </row>
    <row r="27" spans="2:4" ht="15" thickBot="1" x14ac:dyDescent="0.4">
      <c r="B27" s="88">
        <f t="shared" si="4"/>
        <v>17</v>
      </c>
      <c r="C27" s="18">
        <f t="shared" si="0"/>
        <v>4.08</v>
      </c>
      <c r="D27" s="19">
        <f t="shared" si="1"/>
        <v>7.54</v>
      </c>
    </row>
    <row r="28" spans="2:4" ht="43.5" x14ac:dyDescent="0.35">
      <c r="B28" s="12" t="s">
        <v>9</v>
      </c>
      <c r="C28" s="20">
        <f>MAX(C11:C27)</f>
        <v>4.08</v>
      </c>
      <c r="D28" s="21">
        <f>MAX(D11:D27)</f>
        <v>7.54</v>
      </c>
    </row>
    <row r="29" spans="2:4" ht="43.5" x14ac:dyDescent="0.35">
      <c r="B29" s="12" t="s">
        <v>7</v>
      </c>
      <c r="C29" s="20">
        <f>MIN(C11:C27)</f>
        <v>0.2</v>
      </c>
      <c r="D29" s="21">
        <f>MIN(D11:D27)</f>
        <v>0.24</v>
      </c>
    </row>
    <row r="30" spans="2:4" ht="44" thickBot="1" x14ac:dyDescent="0.4">
      <c r="B30" s="13" t="s">
        <v>8</v>
      </c>
      <c r="C30" s="22">
        <f>COUNTIF(C11:C27, F5)</f>
        <v>1</v>
      </c>
      <c r="D30" s="22">
        <f>COUNTIF(D11:D27, F5)</f>
        <v>0</v>
      </c>
    </row>
  </sheetData>
  <mergeCells count="2">
    <mergeCell ref="B9:B10"/>
    <mergeCell ref="C9:D9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FBD6D0-7833-40C9-95E0-EA65DED8EC98}">
  <sheetPr codeName="Лист2"/>
  <dimension ref="A5:N17"/>
  <sheetViews>
    <sheetView view="pageLayout" topLeftCell="A4" zoomScaleNormal="100" workbookViewId="0">
      <selection activeCell="H12" sqref="H12"/>
    </sheetView>
  </sheetViews>
  <sheetFormatPr defaultRowHeight="14.5" x14ac:dyDescent="0.35"/>
  <cols>
    <col min="1" max="1" width="5" customWidth="1"/>
    <col min="2" max="2" width="14.90625" customWidth="1"/>
    <col min="3" max="3" width="6.6328125" customWidth="1"/>
    <col min="4" max="4" width="14.36328125" customWidth="1"/>
    <col min="5" max="6" width="11.1796875" customWidth="1"/>
    <col min="7" max="7" width="12.81640625" customWidth="1"/>
  </cols>
  <sheetData>
    <row r="5" spans="1:14" ht="18.5" customHeight="1" x14ac:dyDescent="0.35">
      <c r="A5" s="82" t="s">
        <v>12</v>
      </c>
      <c r="B5" s="82"/>
      <c r="C5" s="82"/>
      <c r="D5" s="82"/>
      <c r="E5" s="82"/>
      <c r="F5" s="82"/>
      <c r="G5" s="82"/>
    </row>
    <row r="6" spans="1:14" ht="15" thickBot="1" x14ac:dyDescent="0.4">
      <c r="A6" s="83"/>
      <c r="B6" s="83"/>
      <c r="C6" s="83"/>
      <c r="D6" s="83"/>
      <c r="E6" s="83"/>
      <c r="F6" s="83"/>
      <c r="G6" s="83"/>
    </row>
    <row r="7" spans="1:14" ht="29.5" thickTop="1" x14ac:dyDescent="0.35">
      <c r="A7" s="47" t="s">
        <v>13</v>
      </c>
      <c r="B7" s="76" t="s">
        <v>14</v>
      </c>
      <c r="C7" s="77"/>
      <c r="D7" s="78"/>
      <c r="E7" s="79" t="s">
        <v>18</v>
      </c>
      <c r="F7" s="80" t="s">
        <v>20</v>
      </c>
      <c r="G7" s="81" t="s">
        <v>19</v>
      </c>
    </row>
    <row r="8" spans="1:14" ht="15" thickBot="1" x14ac:dyDescent="0.4">
      <c r="A8" s="47"/>
      <c r="B8" s="48" t="s">
        <v>15</v>
      </c>
      <c r="C8" s="49" t="s">
        <v>16</v>
      </c>
      <c r="D8" s="50" t="s">
        <v>17</v>
      </c>
      <c r="E8" s="79"/>
      <c r="F8" s="80"/>
      <c r="G8" s="81"/>
      <c r="N8" s="4"/>
    </row>
    <row r="9" spans="1:14" ht="15" thickBot="1" x14ac:dyDescent="0.4">
      <c r="A9" s="24" t="s">
        <v>21</v>
      </c>
      <c r="B9" s="25" t="s">
        <v>22</v>
      </c>
      <c r="C9" s="26" t="s">
        <v>23</v>
      </c>
      <c r="D9" s="27" t="s">
        <v>24</v>
      </c>
      <c r="E9" s="28" t="s">
        <v>25</v>
      </c>
      <c r="F9" s="29" t="s">
        <v>26</v>
      </c>
      <c r="G9" s="30" t="s">
        <v>27</v>
      </c>
      <c r="L9" s="4"/>
      <c r="N9" s="4"/>
    </row>
    <row r="10" spans="1:14" ht="29" x14ac:dyDescent="0.35">
      <c r="A10" s="10">
        <v>1</v>
      </c>
      <c r="B10" s="31" t="s">
        <v>28</v>
      </c>
      <c r="C10" s="53">
        <v>4</v>
      </c>
      <c r="D10" s="32" t="s">
        <v>34</v>
      </c>
      <c r="E10" s="33">
        <v>4008</v>
      </c>
      <c r="F10" s="34">
        <v>8</v>
      </c>
      <c r="G10" s="59">
        <f>F10*E10</f>
        <v>32064</v>
      </c>
    </row>
    <row r="11" spans="1:14" ht="29" x14ac:dyDescent="0.35">
      <c r="A11" s="51">
        <v>2</v>
      </c>
      <c r="B11" s="35" t="s">
        <v>29</v>
      </c>
      <c r="C11" s="54">
        <v>3</v>
      </c>
      <c r="D11" s="36" t="s">
        <v>35</v>
      </c>
      <c r="E11" s="37">
        <v>128</v>
      </c>
      <c r="F11" s="38">
        <v>1</v>
      </c>
      <c r="G11" s="60">
        <f t="shared" ref="G11:G15" si="0">F11*E11</f>
        <v>128</v>
      </c>
    </row>
    <row r="12" spans="1:14" ht="29" x14ac:dyDescent="0.35">
      <c r="A12" s="10">
        <v>3</v>
      </c>
      <c r="B12" s="39" t="s">
        <v>30</v>
      </c>
      <c r="C12" s="53">
        <v>1</v>
      </c>
      <c r="D12" s="40" t="s">
        <v>36</v>
      </c>
      <c r="E12" s="33">
        <v>31.42</v>
      </c>
      <c r="F12" s="34">
        <v>101</v>
      </c>
      <c r="G12" s="59">
        <f t="shared" si="0"/>
        <v>3173.42</v>
      </c>
    </row>
    <row r="13" spans="1:14" ht="29" x14ac:dyDescent="0.35">
      <c r="A13" s="51">
        <v>4</v>
      </c>
      <c r="B13" s="35" t="s">
        <v>31</v>
      </c>
      <c r="C13" s="55">
        <v>1</v>
      </c>
      <c r="D13" s="36" t="s">
        <v>37</v>
      </c>
      <c r="E13" s="37">
        <v>302.10000000000002</v>
      </c>
      <c r="F13" s="38">
        <v>202</v>
      </c>
      <c r="G13" s="60">
        <f t="shared" si="0"/>
        <v>61024.200000000004</v>
      </c>
    </row>
    <row r="14" spans="1:14" ht="43.5" x14ac:dyDescent="0.35">
      <c r="A14" s="10">
        <v>5</v>
      </c>
      <c r="B14" s="39" t="s">
        <v>32</v>
      </c>
      <c r="C14" s="56">
        <v>2</v>
      </c>
      <c r="D14" s="40" t="s">
        <v>40</v>
      </c>
      <c r="E14" s="33">
        <v>101.01</v>
      </c>
      <c r="F14" s="34">
        <v>303</v>
      </c>
      <c r="G14" s="59">
        <f t="shared" si="0"/>
        <v>30606.030000000002</v>
      </c>
    </row>
    <row r="15" spans="1:14" ht="58.5" thickBot="1" x14ac:dyDescent="0.4">
      <c r="A15" s="52">
        <v>6</v>
      </c>
      <c r="B15" s="41" t="s">
        <v>33</v>
      </c>
      <c r="C15" s="57">
        <v>6</v>
      </c>
      <c r="D15" s="42" t="s">
        <v>38</v>
      </c>
      <c r="E15" s="43">
        <v>100</v>
      </c>
      <c r="F15" s="44">
        <v>404</v>
      </c>
      <c r="G15" s="61">
        <f t="shared" si="0"/>
        <v>40400</v>
      </c>
    </row>
    <row r="16" spans="1:14" ht="15" thickBot="1" x14ac:dyDescent="0.4">
      <c r="A16" s="45"/>
      <c r="B16" s="46"/>
      <c r="C16" s="46"/>
      <c r="D16" s="46"/>
      <c r="E16" s="58" t="s">
        <v>39</v>
      </c>
      <c r="F16" s="63">
        <f>SUM(F10:F15)</f>
        <v>1019</v>
      </c>
      <c r="G16" s="62">
        <f>SUM(G10:G15)</f>
        <v>167395.65</v>
      </c>
    </row>
    <row r="17" spans="1:7" x14ac:dyDescent="0.35">
      <c r="A17" s="4"/>
      <c r="B17" s="4"/>
      <c r="C17" s="4"/>
      <c r="D17" s="4"/>
      <c r="E17" s="23"/>
      <c r="F17" s="4"/>
      <c r="G17" s="4"/>
    </row>
  </sheetData>
  <mergeCells count="5">
    <mergeCell ref="B7:D7"/>
    <mergeCell ref="E7:E8"/>
    <mergeCell ref="F7:F8"/>
    <mergeCell ref="G7:G8"/>
    <mergeCell ref="A5:G6"/>
  </mergeCells>
  <conditionalFormatting sqref="G10:G16">
    <cfRule type="cellIs" dxfId="6" priority="2" operator="lessThan">
      <formula>0</formula>
    </cfRule>
  </conditionalFormatting>
  <conditionalFormatting sqref="F16">
    <cfRule type="cellIs" dxfId="5" priority="1" operator="lessThan">
      <formula>0</formula>
    </cfRule>
  </conditionalFormatting>
  <pageMargins left="0.7" right="0.7" top="0.75" bottom="0.75" header="0.3" footer="0.3"/>
  <pageSetup paperSize="9" orientation="landscape" horizontalDpi="0" verticalDpi="0" r:id="rId1"/>
  <headerFooter>
    <oddHeader>&amp;LСенина Мария Михайловна&amp;C27&amp;Rlab6_Senina_Mariya_p3112.xlsx</oddHeader>
    <oddFooter>&amp;LДата создания:&amp;C20.11.2020 21:27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93B8B8-5456-4FBD-9D24-576E0D2EB3E3}">
  <sheetPr codeName="Лист3"/>
  <dimension ref="A1:H16"/>
  <sheetViews>
    <sheetView workbookViewId="0">
      <selection activeCell="E23" sqref="E23"/>
    </sheetView>
  </sheetViews>
  <sheetFormatPr defaultRowHeight="14.5" outlineLevelCol="2" x14ac:dyDescent="0.35"/>
  <cols>
    <col min="2" max="2" width="15.7265625" customWidth="1"/>
    <col min="3" max="3" width="19.54296875" customWidth="1"/>
    <col min="4" max="4" width="21.36328125" customWidth="1" outlineLevel="1"/>
    <col min="5" max="5" width="25" customWidth="1" outlineLevel="1"/>
    <col min="6" max="6" width="17.81640625" style="65" customWidth="1" outlineLevel="2"/>
    <col min="7" max="7" width="25.08984375" style="7" customWidth="1" outlineLevel="2"/>
    <col min="8" max="8" width="9.26953125" style="64" bestFit="1" customWidth="1"/>
  </cols>
  <sheetData>
    <row r="1" spans="1:8" x14ac:dyDescent="0.35">
      <c r="A1" t="s">
        <v>41</v>
      </c>
      <c r="B1" t="s">
        <v>47</v>
      </c>
      <c r="C1" t="s">
        <v>42</v>
      </c>
      <c r="D1" t="s">
        <v>43</v>
      </c>
      <c r="E1" t="s">
        <v>48</v>
      </c>
      <c r="F1" s="65" t="s">
        <v>44</v>
      </c>
      <c r="G1" s="7" t="s">
        <v>45</v>
      </c>
      <c r="H1" s="64" t="s">
        <v>46</v>
      </c>
    </row>
    <row r="2" spans="1:8" x14ac:dyDescent="0.35">
      <c r="A2">
        <v>8</v>
      </c>
      <c r="B2" t="s">
        <v>51</v>
      </c>
      <c r="C2" t="s">
        <v>60</v>
      </c>
      <c r="D2" t="s">
        <v>71</v>
      </c>
      <c r="E2" t="s">
        <v>77</v>
      </c>
      <c r="F2" s="65">
        <v>34863</v>
      </c>
      <c r="G2" s="7" t="s">
        <v>78</v>
      </c>
      <c r="H2" s="64">
        <v>1000</v>
      </c>
    </row>
    <row r="3" spans="1:8" x14ac:dyDescent="0.35">
      <c r="A3">
        <v>6</v>
      </c>
      <c r="B3" t="s">
        <v>50</v>
      </c>
      <c r="C3" t="s">
        <v>58</v>
      </c>
      <c r="D3" t="s">
        <v>71</v>
      </c>
      <c r="E3" t="s">
        <v>71</v>
      </c>
      <c r="F3" s="65">
        <v>40445</v>
      </c>
      <c r="G3" s="7" t="s">
        <v>71</v>
      </c>
      <c r="H3" s="64">
        <v>410</v>
      </c>
    </row>
    <row r="4" spans="1:8" x14ac:dyDescent="0.35">
      <c r="A4">
        <v>4</v>
      </c>
      <c r="B4" t="s">
        <v>50</v>
      </c>
      <c r="C4" t="s">
        <v>56</v>
      </c>
      <c r="D4" t="s">
        <v>71</v>
      </c>
      <c r="E4" t="s">
        <v>75</v>
      </c>
      <c r="F4" s="65">
        <v>41437</v>
      </c>
      <c r="G4" s="7" t="s">
        <v>74</v>
      </c>
      <c r="H4" s="64">
        <v>15</v>
      </c>
    </row>
    <row r="5" spans="1:8" x14ac:dyDescent="0.35">
      <c r="A5">
        <v>5</v>
      </c>
      <c r="B5" t="s">
        <v>50</v>
      </c>
      <c r="C5" t="s">
        <v>57</v>
      </c>
      <c r="D5" t="s">
        <v>71</v>
      </c>
      <c r="E5" t="s">
        <v>75</v>
      </c>
      <c r="F5" s="65">
        <v>41437</v>
      </c>
      <c r="G5" s="7" t="s">
        <v>74</v>
      </c>
      <c r="H5" s="64">
        <v>110</v>
      </c>
    </row>
    <row r="6" spans="1:8" x14ac:dyDescent="0.35">
      <c r="A6">
        <v>11</v>
      </c>
      <c r="B6" t="s">
        <v>51</v>
      </c>
      <c r="C6" t="s">
        <v>63</v>
      </c>
      <c r="D6" t="s">
        <v>71</v>
      </c>
      <c r="E6" t="s">
        <v>81</v>
      </c>
      <c r="F6" s="65">
        <v>43255</v>
      </c>
      <c r="G6" s="7" t="s">
        <v>81</v>
      </c>
      <c r="H6" s="64">
        <v>108</v>
      </c>
    </row>
    <row r="7" spans="1:8" x14ac:dyDescent="0.35">
      <c r="A7">
        <v>7</v>
      </c>
      <c r="B7" t="s">
        <v>50</v>
      </c>
      <c r="C7" t="s">
        <v>59</v>
      </c>
      <c r="D7" t="s">
        <v>69</v>
      </c>
      <c r="E7" t="s">
        <v>68</v>
      </c>
      <c r="F7" s="65">
        <v>43524</v>
      </c>
      <c r="G7" s="7" t="s">
        <v>76</v>
      </c>
      <c r="H7" s="64">
        <v>800</v>
      </c>
    </row>
    <row r="8" spans="1:8" x14ac:dyDescent="0.35">
      <c r="A8">
        <v>2</v>
      </c>
      <c r="B8" t="s">
        <v>49</v>
      </c>
      <c r="C8" t="s">
        <v>54</v>
      </c>
      <c r="D8" t="s">
        <v>64</v>
      </c>
      <c r="E8" t="s">
        <v>70</v>
      </c>
      <c r="F8" s="65">
        <v>43648</v>
      </c>
      <c r="G8" s="7" t="s">
        <v>67</v>
      </c>
      <c r="H8" s="64">
        <v>620</v>
      </c>
    </row>
    <row r="9" spans="1:8" x14ac:dyDescent="0.35">
      <c r="A9">
        <v>10</v>
      </c>
      <c r="B9" t="s">
        <v>51</v>
      </c>
      <c r="C9" t="s">
        <v>62</v>
      </c>
      <c r="D9" t="s">
        <v>71</v>
      </c>
      <c r="E9" t="s">
        <v>80</v>
      </c>
      <c r="F9" s="65">
        <v>43982</v>
      </c>
      <c r="G9" s="7" t="s">
        <v>80</v>
      </c>
      <c r="H9" s="64">
        <v>89</v>
      </c>
    </row>
    <row r="10" spans="1:8" x14ac:dyDescent="0.35">
      <c r="A10">
        <v>12</v>
      </c>
      <c r="B10" t="s">
        <v>52</v>
      </c>
      <c r="C10" t="s">
        <v>83</v>
      </c>
      <c r="D10" t="s">
        <v>71</v>
      </c>
      <c r="E10" t="s">
        <v>82</v>
      </c>
      <c r="F10" s="65">
        <v>44024</v>
      </c>
      <c r="G10" s="7" t="s">
        <v>82</v>
      </c>
      <c r="H10" s="64">
        <v>10</v>
      </c>
    </row>
    <row r="11" spans="1:8" x14ac:dyDescent="0.35">
      <c r="A11">
        <v>13</v>
      </c>
      <c r="B11" t="s">
        <v>52</v>
      </c>
      <c r="C11" t="s">
        <v>85</v>
      </c>
      <c r="D11" t="s">
        <v>65</v>
      </c>
      <c r="E11" t="s">
        <v>84</v>
      </c>
      <c r="F11" s="65">
        <v>44087</v>
      </c>
      <c r="G11" s="7" t="s">
        <v>84</v>
      </c>
      <c r="H11" s="64">
        <v>15</v>
      </c>
    </row>
    <row r="12" spans="1:8" x14ac:dyDescent="0.35">
      <c r="A12">
        <v>14</v>
      </c>
      <c r="B12" t="s">
        <v>52</v>
      </c>
      <c r="C12" t="s">
        <v>86</v>
      </c>
      <c r="D12" t="s">
        <v>65</v>
      </c>
      <c r="E12" t="s">
        <v>84</v>
      </c>
      <c r="F12" s="65">
        <v>44117</v>
      </c>
      <c r="G12" s="7" t="s">
        <v>84</v>
      </c>
      <c r="H12" s="64">
        <v>12</v>
      </c>
    </row>
    <row r="13" spans="1:8" x14ac:dyDescent="0.35">
      <c r="A13">
        <v>9</v>
      </c>
      <c r="B13" t="s">
        <v>51</v>
      </c>
      <c r="C13" t="s">
        <v>61</v>
      </c>
      <c r="D13" t="s">
        <v>71</v>
      </c>
      <c r="E13" t="s">
        <v>79</v>
      </c>
      <c r="F13" s="65">
        <v>44157</v>
      </c>
      <c r="G13" s="7" t="s">
        <v>79</v>
      </c>
      <c r="H13" s="64">
        <v>20</v>
      </c>
    </row>
    <row r="14" spans="1:8" x14ac:dyDescent="0.35">
      <c r="A14">
        <v>1</v>
      </c>
      <c r="B14" t="s">
        <v>49</v>
      </c>
      <c r="C14" t="s">
        <v>53</v>
      </c>
      <c r="D14" t="s">
        <v>69</v>
      </c>
      <c r="E14" t="s">
        <v>68</v>
      </c>
      <c r="F14" s="65">
        <v>44177</v>
      </c>
      <c r="G14" s="7" t="s">
        <v>66</v>
      </c>
      <c r="H14" s="64">
        <v>43</v>
      </c>
    </row>
    <row r="15" spans="1:8" x14ac:dyDescent="0.35">
      <c r="A15">
        <v>3</v>
      </c>
      <c r="B15" t="s">
        <v>49</v>
      </c>
      <c r="C15" t="s">
        <v>55</v>
      </c>
      <c r="D15" t="s">
        <v>71</v>
      </c>
      <c r="E15" t="s">
        <v>72</v>
      </c>
      <c r="F15" s="65">
        <v>44306</v>
      </c>
      <c r="G15" s="7" t="s">
        <v>73</v>
      </c>
      <c r="H15" s="64">
        <v>-300</v>
      </c>
    </row>
    <row r="16" spans="1:8" ht="16.5" customHeight="1" x14ac:dyDescent="0.35">
      <c r="A16">
        <v>15</v>
      </c>
      <c r="B16" t="s">
        <v>52</v>
      </c>
      <c r="C16" t="s">
        <v>87</v>
      </c>
      <c r="D16" t="s">
        <v>65</v>
      </c>
      <c r="E16" t="s">
        <v>89</v>
      </c>
      <c r="G16" s="7" t="s">
        <v>88</v>
      </c>
      <c r="H16" s="64">
        <v>19</v>
      </c>
    </row>
  </sheetData>
  <autoFilter ref="A1:H16" xr:uid="{42643125-9311-48AC-BF04-D61217636122}">
    <sortState xmlns:xlrd2="http://schemas.microsoft.com/office/spreadsheetml/2017/richdata2" ref="A2:H16">
      <sortCondition ref="F1:F13"/>
    </sortState>
  </autoFilter>
  <dataValidations count="3">
    <dataValidation type="whole" operator="greaterThan" allowBlank="1" showInputMessage="1" showErrorMessage="1" sqref="A2:A16 A17:A1048576 H17:H1048576 H2:H16" xr:uid="{53400479-30A0-44B6-9239-252E61B6CE48}">
      <formula1>0</formula1>
    </dataValidation>
    <dataValidation type="textLength" allowBlank="1" showInputMessage="1" showErrorMessage="1" sqref="E17:E1048576 E2:E16" xr:uid="{0ADE8AD0-3A65-4D7E-8379-CAB5B2D9A53F}">
      <formula1>1</formula1>
      <formula2>50</formula2>
    </dataValidation>
    <dataValidation operator="greaterThan" allowBlank="1" showInputMessage="1" showErrorMessage="1" sqref="A1 H1" xr:uid="{4DBEED62-E376-4E36-ADDA-0AC14D44C781}"/>
  </dataValidation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7B9473-270E-4139-AB62-70DAB50F69A3}">
  <sheetPr codeName="Лист4"/>
  <dimension ref="A1:J20"/>
  <sheetViews>
    <sheetView workbookViewId="0">
      <selection activeCell="H3" sqref="H3"/>
    </sheetView>
  </sheetViews>
  <sheetFormatPr defaultRowHeight="14.5" x14ac:dyDescent="0.35"/>
  <cols>
    <col min="1" max="1" width="3.26953125" customWidth="1"/>
    <col min="2" max="2" width="16.453125" customWidth="1"/>
    <col min="3" max="3" width="6.26953125" customWidth="1"/>
    <col min="5" max="5" width="6.7265625" customWidth="1"/>
    <col min="6" max="6" width="11.81640625" customWidth="1"/>
    <col min="7" max="7" width="13.26953125" customWidth="1"/>
    <col min="8" max="8" width="18.1796875" customWidth="1"/>
  </cols>
  <sheetData>
    <row r="1" spans="1:10" x14ac:dyDescent="0.35">
      <c r="A1" s="66"/>
    </row>
    <row r="2" spans="1:10" x14ac:dyDescent="0.35">
      <c r="A2" t="s">
        <v>108</v>
      </c>
      <c r="B2" t="s">
        <v>109</v>
      </c>
      <c r="C2" t="s">
        <v>110</v>
      </c>
      <c r="D2" t="s">
        <v>111</v>
      </c>
      <c r="E2" t="s">
        <v>112</v>
      </c>
      <c r="F2" t="s">
        <v>113</v>
      </c>
      <c r="G2" t="s">
        <v>114</v>
      </c>
      <c r="H2" t="s">
        <v>115</v>
      </c>
      <c r="I2" t="s">
        <v>116</v>
      </c>
      <c r="J2" t="s">
        <v>117</v>
      </c>
    </row>
    <row r="3" spans="1:10" x14ac:dyDescent="0.35">
      <c r="A3">
        <v>1</v>
      </c>
      <c r="B3" t="s">
        <v>90</v>
      </c>
      <c r="C3">
        <v>34</v>
      </c>
      <c r="D3">
        <v>22</v>
      </c>
      <c r="E3">
        <v>7</v>
      </c>
      <c r="F3">
        <v>5</v>
      </c>
      <c r="G3">
        <v>67</v>
      </c>
      <c r="H3">
        <v>30</v>
      </c>
      <c r="I3">
        <f>G3-H3</f>
        <v>37</v>
      </c>
      <c r="J3">
        <f t="shared" ref="J3:J20" si="0">D3*3+E3</f>
        <v>73</v>
      </c>
    </row>
    <row r="4" spans="1:10" x14ac:dyDescent="0.35">
      <c r="A4">
        <v>2</v>
      </c>
      <c r="B4" t="s">
        <v>91</v>
      </c>
      <c r="C4">
        <v>34</v>
      </c>
      <c r="D4">
        <v>20</v>
      </c>
      <c r="E4">
        <v>8</v>
      </c>
      <c r="F4">
        <v>6</v>
      </c>
      <c r="G4">
        <v>54</v>
      </c>
      <c r="H4">
        <v>27</v>
      </c>
      <c r="I4">
        <f t="shared" ref="I4:I20" si="1">G4-H4</f>
        <v>27</v>
      </c>
      <c r="J4">
        <f t="shared" si="0"/>
        <v>68</v>
      </c>
    </row>
    <row r="5" spans="1:10" x14ac:dyDescent="0.35">
      <c r="A5">
        <v>3</v>
      </c>
      <c r="B5" t="s">
        <v>92</v>
      </c>
      <c r="C5">
        <v>34</v>
      </c>
      <c r="D5">
        <v>19</v>
      </c>
      <c r="E5">
        <v>11</v>
      </c>
      <c r="F5">
        <v>4</v>
      </c>
      <c r="G5">
        <v>50</v>
      </c>
      <c r="H5">
        <v>20</v>
      </c>
      <c r="I5">
        <f t="shared" si="1"/>
        <v>30</v>
      </c>
      <c r="J5">
        <f t="shared" si="0"/>
        <v>68</v>
      </c>
    </row>
    <row r="6" spans="1:10" x14ac:dyDescent="0.35">
      <c r="A6">
        <v>4</v>
      </c>
      <c r="B6" t="s">
        <v>93</v>
      </c>
      <c r="C6">
        <v>34</v>
      </c>
      <c r="D6">
        <v>15</v>
      </c>
      <c r="E6">
        <v>10</v>
      </c>
      <c r="F6">
        <v>9</v>
      </c>
      <c r="G6">
        <v>38</v>
      </c>
      <c r="H6">
        <v>35</v>
      </c>
      <c r="I6">
        <f t="shared" si="1"/>
        <v>3</v>
      </c>
      <c r="J6">
        <f t="shared" si="0"/>
        <v>55</v>
      </c>
    </row>
    <row r="7" spans="1:10" x14ac:dyDescent="0.35">
      <c r="A7">
        <v>5</v>
      </c>
      <c r="B7" t="s">
        <v>94</v>
      </c>
      <c r="C7">
        <v>34</v>
      </c>
      <c r="D7">
        <v>15</v>
      </c>
      <c r="E7">
        <v>9</v>
      </c>
      <c r="F7">
        <v>10</v>
      </c>
      <c r="G7">
        <v>47</v>
      </c>
      <c r="H7">
        <v>37</v>
      </c>
      <c r="I7">
        <f t="shared" si="1"/>
        <v>10</v>
      </c>
      <c r="J7">
        <f t="shared" si="0"/>
        <v>54</v>
      </c>
    </row>
    <row r="8" spans="1:10" x14ac:dyDescent="0.35">
      <c r="A8">
        <v>6</v>
      </c>
      <c r="B8" t="s">
        <v>95</v>
      </c>
      <c r="C8">
        <v>34</v>
      </c>
      <c r="D8">
        <v>13</v>
      </c>
      <c r="E8">
        <v>14</v>
      </c>
      <c r="F8">
        <v>7</v>
      </c>
      <c r="G8">
        <v>40</v>
      </c>
      <c r="H8">
        <v>26</v>
      </c>
      <c r="I8">
        <f t="shared" si="1"/>
        <v>14</v>
      </c>
      <c r="J8">
        <f t="shared" si="0"/>
        <v>53</v>
      </c>
    </row>
    <row r="9" spans="1:10" x14ac:dyDescent="0.35">
      <c r="A9">
        <v>7</v>
      </c>
      <c r="B9" t="s">
        <v>96</v>
      </c>
      <c r="C9">
        <v>34</v>
      </c>
      <c r="D9">
        <v>14</v>
      </c>
      <c r="E9">
        <v>7</v>
      </c>
      <c r="F9">
        <v>13</v>
      </c>
      <c r="G9">
        <v>32</v>
      </c>
      <c r="H9">
        <v>30</v>
      </c>
      <c r="I9">
        <f t="shared" si="1"/>
        <v>2</v>
      </c>
      <c r="J9">
        <f t="shared" si="0"/>
        <v>49</v>
      </c>
    </row>
    <row r="10" spans="1:10" x14ac:dyDescent="0.35">
      <c r="A10">
        <v>8</v>
      </c>
      <c r="B10" t="s">
        <v>97</v>
      </c>
      <c r="C10">
        <v>34</v>
      </c>
      <c r="D10">
        <v>13</v>
      </c>
      <c r="E10">
        <v>10</v>
      </c>
      <c r="F10">
        <v>11</v>
      </c>
      <c r="G10">
        <v>28</v>
      </c>
      <c r="H10">
        <v>29</v>
      </c>
      <c r="I10">
        <f t="shared" si="1"/>
        <v>-1</v>
      </c>
      <c r="J10">
        <f t="shared" si="0"/>
        <v>49</v>
      </c>
    </row>
    <row r="11" spans="1:10" x14ac:dyDescent="0.35">
      <c r="A11">
        <v>9</v>
      </c>
      <c r="B11" t="s">
        <v>98</v>
      </c>
      <c r="C11">
        <v>34</v>
      </c>
      <c r="D11">
        <v>11</v>
      </c>
      <c r="E11">
        <v>16</v>
      </c>
      <c r="F11">
        <v>7</v>
      </c>
      <c r="G11">
        <v>38</v>
      </c>
      <c r="H11">
        <v>33</v>
      </c>
      <c r="I11">
        <f t="shared" si="1"/>
        <v>5</v>
      </c>
      <c r="J11">
        <f t="shared" si="0"/>
        <v>49</v>
      </c>
    </row>
    <row r="12" spans="1:10" x14ac:dyDescent="0.35">
      <c r="A12">
        <v>10</v>
      </c>
      <c r="B12" t="s">
        <v>99</v>
      </c>
      <c r="C12">
        <v>34</v>
      </c>
      <c r="D12">
        <v>14</v>
      </c>
      <c r="E12">
        <v>4</v>
      </c>
      <c r="F12">
        <v>16</v>
      </c>
      <c r="G12">
        <v>52</v>
      </c>
      <c r="H12">
        <v>42</v>
      </c>
      <c r="I12">
        <f t="shared" si="1"/>
        <v>10</v>
      </c>
      <c r="J12">
        <f t="shared" si="0"/>
        <v>46</v>
      </c>
    </row>
    <row r="13" spans="1:10" x14ac:dyDescent="0.35">
      <c r="A13">
        <v>11</v>
      </c>
      <c r="B13" t="s">
        <v>100</v>
      </c>
      <c r="C13">
        <v>34</v>
      </c>
      <c r="D13">
        <v>13</v>
      </c>
      <c r="E13">
        <v>6</v>
      </c>
      <c r="F13">
        <v>15</v>
      </c>
      <c r="G13">
        <v>50</v>
      </c>
      <c r="H13">
        <v>46</v>
      </c>
      <c r="I13">
        <f t="shared" si="1"/>
        <v>4</v>
      </c>
      <c r="J13">
        <f t="shared" si="0"/>
        <v>45</v>
      </c>
    </row>
    <row r="14" spans="1:10" x14ac:dyDescent="0.35">
      <c r="A14">
        <v>12</v>
      </c>
      <c r="B14" t="s">
        <v>101</v>
      </c>
      <c r="C14">
        <v>34</v>
      </c>
      <c r="D14">
        <v>11</v>
      </c>
      <c r="E14">
        <v>9</v>
      </c>
      <c r="F14">
        <v>14</v>
      </c>
      <c r="G14">
        <v>31</v>
      </c>
      <c r="H14">
        <v>42</v>
      </c>
      <c r="I14">
        <f t="shared" si="1"/>
        <v>-11</v>
      </c>
      <c r="J14">
        <f t="shared" si="0"/>
        <v>42</v>
      </c>
    </row>
    <row r="15" spans="1:10" x14ac:dyDescent="0.35">
      <c r="A15">
        <v>13</v>
      </c>
      <c r="B15" t="s">
        <v>102</v>
      </c>
      <c r="C15">
        <v>34</v>
      </c>
      <c r="D15">
        <v>9</v>
      </c>
      <c r="E15">
        <v>14</v>
      </c>
      <c r="F15">
        <v>11</v>
      </c>
      <c r="G15">
        <v>34</v>
      </c>
      <c r="H15">
        <v>38</v>
      </c>
      <c r="I15">
        <f t="shared" si="1"/>
        <v>-4</v>
      </c>
      <c r="J15">
        <f t="shared" si="0"/>
        <v>41</v>
      </c>
    </row>
    <row r="16" spans="1:10" x14ac:dyDescent="0.35">
      <c r="A16">
        <v>14</v>
      </c>
      <c r="B16" t="s">
        <v>103</v>
      </c>
      <c r="C16">
        <v>34</v>
      </c>
      <c r="D16">
        <v>11</v>
      </c>
      <c r="E16">
        <v>7</v>
      </c>
      <c r="F16">
        <v>16</v>
      </c>
      <c r="G16">
        <v>38</v>
      </c>
      <c r="H16">
        <v>51</v>
      </c>
      <c r="I16">
        <f t="shared" si="1"/>
        <v>-13</v>
      </c>
      <c r="J16">
        <f t="shared" si="0"/>
        <v>40</v>
      </c>
    </row>
    <row r="17" spans="1:10" x14ac:dyDescent="0.35">
      <c r="A17">
        <v>15</v>
      </c>
      <c r="B17" t="s">
        <v>104</v>
      </c>
      <c r="C17">
        <v>34</v>
      </c>
      <c r="D17">
        <v>9</v>
      </c>
      <c r="E17">
        <v>7</v>
      </c>
      <c r="F17">
        <v>18</v>
      </c>
      <c r="G17">
        <v>28</v>
      </c>
      <c r="H17">
        <v>46</v>
      </c>
      <c r="I17">
        <f t="shared" si="1"/>
        <v>-18</v>
      </c>
      <c r="J17">
        <f t="shared" si="0"/>
        <v>34</v>
      </c>
    </row>
    <row r="18" spans="1:10" x14ac:dyDescent="0.35">
      <c r="A18">
        <v>16</v>
      </c>
      <c r="B18" t="s">
        <v>105</v>
      </c>
      <c r="C18">
        <v>34</v>
      </c>
      <c r="D18">
        <v>7</v>
      </c>
      <c r="E18">
        <v>5</v>
      </c>
      <c r="F18">
        <v>22</v>
      </c>
      <c r="G18">
        <v>25</v>
      </c>
      <c r="H18">
        <v>49</v>
      </c>
      <c r="I18">
        <f t="shared" si="1"/>
        <v>-24</v>
      </c>
      <c r="J18">
        <f t="shared" si="0"/>
        <v>26</v>
      </c>
    </row>
    <row r="19" spans="1:10" x14ac:dyDescent="0.35">
      <c r="A19">
        <v>17</v>
      </c>
      <c r="B19" t="s">
        <v>106</v>
      </c>
      <c r="C19">
        <v>34</v>
      </c>
      <c r="D19">
        <v>6</v>
      </c>
      <c r="E19">
        <v>5</v>
      </c>
      <c r="F19">
        <v>23</v>
      </c>
      <c r="G19">
        <v>26</v>
      </c>
      <c r="H19">
        <v>60</v>
      </c>
      <c r="I19">
        <f t="shared" si="1"/>
        <v>-34</v>
      </c>
      <c r="J19">
        <f t="shared" si="0"/>
        <v>23</v>
      </c>
    </row>
    <row r="20" spans="1:10" x14ac:dyDescent="0.35">
      <c r="A20">
        <v>18</v>
      </c>
      <c r="B20" t="s">
        <v>107</v>
      </c>
      <c r="C20">
        <v>34</v>
      </c>
      <c r="D20">
        <v>8</v>
      </c>
      <c r="E20">
        <v>3</v>
      </c>
      <c r="F20">
        <v>23</v>
      </c>
      <c r="G20">
        <v>38</v>
      </c>
      <c r="H20">
        <v>75</v>
      </c>
      <c r="I20">
        <f t="shared" si="1"/>
        <v>-37</v>
      </c>
      <c r="J20">
        <f t="shared" si="0"/>
        <v>27</v>
      </c>
    </row>
  </sheetData>
  <conditionalFormatting sqref="I3:I20">
    <cfRule type="cellIs" dxfId="4" priority="4" operator="equal">
      <formula>0</formula>
    </cfRule>
    <cfRule type="top10" dxfId="3" priority="5" bottom="1" rank="3"/>
    <cfRule type="top10" dxfId="2" priority="6" rank="3"/>
  </conditionalFormatting>
  <conditionalFormatting sqref="J3:J20">
    <cfRule type="dataBar" priority="3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{37B4F819-A099-48A3-B71D-8A80288DFAE2}</x14:id>
        </ext>
      </extLst>
    </cfRule>
  </conditionalFormatting>
  <conditionalFormatting sqref="H3:H20">
    <cfRule type="top10" dxfId="1" priority="2" rank="1"/>
    <cfRule type="top10" dxfId="0" priority="1" bottom="1" rank="1"/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B4F819-A099-48A3-B71D-8A80288DFAE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J3:J20</xm:sqref>
        </x14:conditionalFormatting>
        <x14:conditionalFormatting xmlns:xm="http://schemas.microsoft.com/office/excel/2006/main">
          <x14:cfRule type="iconSet" priority="9" id="{D3EF791E-B0CE-4239-88BE-F03ED1951E08}">
            <x14:iconSet iconSet="3Symbols2"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2"/>
            </x14:iconSet>
          </x14:cfRule>
          <xm:sqref>D3:D20</xm:sqref>
        </x14:conditionalFormatting>
        <x14:conditionalFormatting xmlns:xm="http://schemas.microsoft.com/office/excel/2006/main">
          <x14:cfRule type="iconSet" priority="8" id="{092B72F2-4ACE-4D8F-B8BE-14F00AB0667D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1"/>
            </x14:iconSet>
          </x14:cfRule>
          <xm:sqref>E3:E20</xm:sqref>
        </x14:conditionalFormatting>
        <x14:conditionalFormatting xmlns:xm="http://schemas.microsoft.com/office/excel/2006/main">
          <x14:cfRule type="iconSet" priority="7" id="{3EB7D6B8-0D59-497F-BC48-669E85A46189}">
            <x14:iconSet custom="1">
              <x14:cfvo type="percent">
                <xm:f>0</xm:f>
              </x14:cfvo>
              <x14:cfvo type="percent">
                <xm:f>33</xm:f>
              </x14:cfvo>
              <x14:cfvo type="percent">
                <xm:f>100</xm:f>
              </x14:cfvo>
              <x14:cfIcon iconSet="NoIcons" iconId="0"/>
              <x14:cfIcon iconSet="NoIcons" iconId="0"/>
              <x14:cfIcon iconSet="3Symbols2" iconId="0"/>
            </x14:iconSet>
          </x14:cfRule>
          <xm:sqref>F3:F20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0F4A0E-16C9-4CC4-873C-9B741C023894}">
  <sheetPr codeName="Лист5"/>
  <dimension ref="A2:J62"/>
  <sheetViews>
    <sheetView tabSelected="1" workbookViewId="0">
      <selection activeCell="F12" sqref="F12"/>
    </sheetView>
  </sheetViews>
  <sheetFormatPr defaultRowHeight="14.5" x14ac:dyDescent="0.35"/>
  <cols>
    <col min="1" max="1" width="9.7265625" customWidth="1"/>
    <col min="2" max="2" width="11.453125" customWidth="1"/>
    <col min="4" max="4" width="14.453125" customWidth="1"/>
    <col min="5" max="5" width="12.6328125" customWidth="1"/>
    <col min="6" max="6" width="5.453125" customWidth="1"/>
    <col min="7" max="7" width="9.90625" bestFit="1" customWidth="1"/>
  </cols>
  <sheetData>
    <row r="2" spans="1:7" x14ac:dyDescent="0.35">
      <c r="D2" s="67" t="s">
        <v>118</v>
      </c>
      <c r="G2" t="s">
        <v>141</v>
      </c>
    </row>
    <row r="3" spans="1:7" x14ac:dyDescent="0.35">
      <c r="D3" s="68">
        <v>44172</v>
      </c>
      <c r="G3" s="65">
        <v>44074</v>
      </c>
    </row>
    <row r="5" spans="1:7" ht="29" x14ac:dyDescent="0.35">
      <c r="A5" s="69" t="s">
        <v>119</v>
      </c>
      <c r="B5" s="70" t="s">
        <v>120</v>
      </c>
      <c r="C5" s="70" t="s">
        <v>121</v>
      </c>
      <c r="D5" s="70" t="s">
        <v>122</v>
      </c>
      <c r="E5" s="69" t="s">
        <v>123</v>
      </c>
      <c r="F5" s="69" t="s">
        <v>124</v>
      </c>
    </row>
    <row r="6" spans="1:7" x14ac:dyDescent="0.35">
      <c r="A6" s="84"/>
      <c r="B6" s="87" t="s">
        <v>125</v>
      </c>
      <c r="C6" s="71">
        <v>0.34722222222222227</v>
      </c>
      <c r="D6" s="71">
        <v>0.40972222222222227</v>
      </c>
      <c r="F6" s="67"/>
    </row>
    <row r="7" spans="1:7" x14ac:dyDescent="0.35">
      <c r="A7" s="85"/>
      <c r="B7" s="85"/>
      <c r="C7" s="71">
        <v>0.41666666666666669</v>
      </c>
      <c r="D7" s="71">
        <v>0.47916666666666669</v>
      </c>
      <c r="E7" s="67"/>
      <c r="F7" s="67"/>
    </row>
    <row r="8" spans="1:7" x14ac:dyDescent="0.35">
      <c r="A8" s="85"/>
      <c r="B8" s="85"/>
      <c r="C8" s="71">
        <v>0.4861111111111111</v>
      </c>
      <c r="D8" s="71">
        <v>0.54861111111111105</v>
      </c>
      <c r="E8" s="67"/>
      <c r="F8" s="67"/>
    </row>
    <row r="9" spans="1:7" x14ac:dyDescent="0.35">
      <c r="A9" s="85"/>
      <c r="B9" s="85"/>
      <c r="C9" s="71">
        <v>0.5625</v>
      </c>
      <c r="D9" s="71">
        <v>0.625</v>
      </c>
      <c r="E9" s="67"/>
      <c r="F9" s="67"/>
    </row>
    <row r="10" spans="1:7" x14ac:dyDescent="0.35">
      <c r="A10" s="85"/>
      <c r="B10" s="85"/>
      <c r="C10" s="71">
        <v>0.63888888888888895</v>
      </c>
      <c r="D10" s="71">
        <v>0.70138888888888884</v>
      </c>
      <c r="E10" s="67"/>
      <c r="F10" s="67"/>
    </row>
    <row r="11" spans="1:7" x14ac:dyDescent="0.35">
      <c r="A11" s="85"/>
      <c r="B11" s="85"/>
      <c r="C11" s="71">
        <v>0.70833333333333337</v>
      </c>
      <c r="D11" s="71">
        <v>0.77083333333333337</v>
      </c>
      <c r="E11" s="67"/>
      <c r="F11" s="67"/>
    </row>
    <row r="12" spans="1:7" x14ac:dyDescent="0.35">
      <c r="A12" s="86"/>
      <c r="B12" s="86"/>
      <c r="C12" s="71">
        <v>0.77777777777777779</v>
      </c>
      <c r="D12" s="71">
        <v>0.84027777777777779</v>
      </c>
      <c r="E12" s="67"/>
      <c r="F12" s="67"/>
    </row>
    <row r="15" spans="1:7" x14ac:dyDescent="0.35">
      <c r="A15" s="67" t="s">
        <v>127</v>
      </c>
      <c r="B15" s="67">
        <v>431</v>
      </c>
      <c r="D15" s="67"/>
      <c r="E15" s="67"/>
    </row>
    <row r="16" spans="1:7" x14ac:dyDescent="0.35">
      <c r="A16" s="67" t="s">
        <v>127</v>
      </c>
      <c r="B16" s="67">
        <v>431</v>
      </c>
      <c r="D16" s="67"/>
      <c r="E16" s="67"/>
    </row>
    <row r="17" spans="1:5" x14ac:dyDescent="0.35">
      <c r="A17" s="67" t="s">
        <v>126</v>
      </c>
      <c r="B17" s="67">
        <v>305</v>
      </c>
      <c r="D17" s="67" t="s">
        <v>128</v>
      </c>
      <c r="E17" s="67">
        <v>101</v>
      </c>
    </row>
    <row r="18" spans="1:5" x14ac:dyDescent="0.35">
      <c r="A18" s="67" t="s">
        <v>126</v>
      </c>
      <c r="B18" s="67">
        <v>305</v>
      </c>
      <c r="D18" s="67" t="s">
        <v>128</v>
      </c>
      <c r="E18" s="67">
        <v>101</v>
      </c>
    </row>
    <row r="19" spans="1:5" x14ac:dyDescent="0.35">
      <c r="A19" s="67" t="s">
        <v>132</v>
      </c>
      <c r="B19" s="67" t="s">
        <v>133</v>
      </c>
      <c r="D19" s="67"/>
      <c r="E19" s="67"/>
    </row>
    <row r="20" spans="1:5" x14ac:dyDescent="0.35">
      <c r="A20" s="67" t="s">
        <v>132</v>
      </c>
      <c r="B20" s="67" t="s">
        <v>133</v>
      </c>
      <c r="D20" s="67"/>
      <c r="E20" s="67"/>
    </row>
    <row r="21" spans="1:5" x14ac:dyDescent="0.35">
      <c r="A21" s="67"/>
      <c r="B21" s="67"/>
      <c r="D21" s="67"/>
      <c r="E21" s="67"/>
    </row>
    <row r="23" spans="1:5" x14ac:dyDescent="0.35">
      <c r="A23" s="67"/>
      <c r="B23" s="67"/>
      <c r="D23" s="67"/>
      <c r="E23" s="67"/>
    </row>
    <row r="24" spans="1:5" x14ac:dyDescent="0.35">
      <c r="A24" s="67" t="s">
        <v>129</v>
      </c>
      <c r="B24" s="67">
        <v>550</v>
      </c>
      <c r="D24" s="67" t="s">
        <v>129</v>
      </c>
      <c r="E24" s="67">
        <v>550</v>
      </c>
    </row>
    <row r="25" spans="1:5" x14ac:dyDescent="0.35">
      <c r="A25" s="67"/>
      <c r="B25" s="67"/>
      <c r="D25" s="67"/>
      <c r="E25" s="67"/>
    </row>
    <row r="26" spans="1:5" x14ac:dyDescent="0.35">
      <c r="A26" s="67" t="s">
        <v>130</v>
      </c>
      <c r="B26" s="67">
        <v>543</v>
      </c>
      <c r="D26" s="67" t="s">
        <v>130</v>
      </c>
      <c r="E26" s="67">
        <v>543</v>
      </c>
    </row>
    <row r="27" spans="1:5" x14ac:dyDescent="0.35">
      <c r="A27" s="67"/>
      <c r="B27" s="67"/>
      <c r="D27" s="67"/>
      <c r="E27" s="67"/>
    </row>
    <row r="28" spans="1:5" x14ac:dyDescent="0.35">
      <c r="A28" s="67"/>
      <c r="B28" s="67"/>
      <c r="D28" s="67"/>
      <c r="E28" s="67"/>
    </row>
    <row r="29" spans="1:5" x14ac:dyDescent="0.35">
      <c r="A29" s="67"/>
      <c r="B29" s="67"/>
      <c r="D29" s="67"/>
      <c r="E29" s="67"/>
    </row>
    <row r="31" spans="1:5" x14ac:dyDescent="0.35">
      <c r="A31" s="67"/>
      <c r="B31" s="67"/>
      <c r="D31" s="67"/>
      <c r="E31" s="67"/>
    </row>
    <row r="32" spans="1:5" x14ac:dyDescent="0.35">
      <c r="A32" s="67"/>
      <c r="B32" s="67"/>
      <c r="D32" s="67" t="s">
        <v>134</v>
      </c>
      <c r="E32">
        <v>2202</v>
      </c>
    </row>
    <row r="33" spans="1:10" x14ac:dyDescent="0.35">
      <c r="A33" s="67" t="s">
        <v>131</v>
      </c>
      <c r="B33" s="67"/>
      <c r="D33" s="67" t="s">
        <v>131</v>
      </c>
      <c r="E33" s="67"/>
    </row>
    <row r="34" spans="1:10" x14ac:dyDescent="0.35">
      <c r="A34" s="67"/>
      <c r="B34" s="67"/>
      <c r="D34" s="67"/>
      <c r="E34" s="67"/>
    </row>
    <row r="35" spans="1:10" x14ac:dyDescent="0.35">
      <c r="A35" s="67"/>
      <c r="B35" s="67"/>
      <c r="D35" s="67"/>
      <c r="E35" s="67"/>
    </row>
    <row r="36" spans="1:10" x14ac:dyDescent="0.35">
      <c r="A36" s="67"/>
      <c r="B36" s="67"/>
      <c r="D36" s="67"/>
      <c r="E36" s="67"/>
    </row>
    <row r="37" spans="1:10" x14ac:dyDescent="0.35">
      <c r="A37" s="67"/>
      <c r="B37" s="67"/>
      <c r="D37" s="67"/>
      <c r="E37" s="67"/>
    </row>
    <row r="39" spans="1:10" x14ac:dyDescent="0.35">
      <c r="A39" s="67" t="s">
        <v>135</v>
      </c>
      <c r="B39" s="67">
        <v>466</v>
      </c>
      <c r="D39" s="67" t="s">
        <v>135</v>
      </c>
      <c r="E39" s="67">
        <v>466</v>
      </c>
    </row>
    <row r="40" spans="1:10" x14ac:dyDescent="0.35">
      <c r="A40" s="67" t="s">
        <v>138</v>
      </c>
      <c r="B40" s="67" t="s">
        <v>136</v>
      </c>
      <c r="D40" s="67" t="s">
        <v>137</v>
      </c>
      <c r="E40" s="67" t="s">
        <v>136</v>
      </c>
    </row>
    <row r="41" spans="1:10" x14ac:dyDescent="0.35">
      <c r="A41" s="67" t="s">
        <v>139</v>
      </c>
      <c r="B41" s="67" t="s">
        <v>136</v>
      </c>
      <c r="D41" s="67"/>
      <c r="E41" s="67"/>
    </row>
    <row r="42" spans="1:10" x14ac:dyDescent="0.35">
      <c r="A42" s="67"/>
      <c r="B42" s="67"/>
      <c r="D42" s="67"/>
      <c r="E42" s="67"/>
    </row>
    <row r="43" spans="1:10" x14ac:dyDescent="0.35">
      <c r="A43" s="67"/>
      <c r="B43" s="67"/>
      <c r="D43" s="67"/>
      <c r="E43" s="67"/>
    </row>
    <row r="44" spans="1:10" x14ac:dyDescent="0.35">
      <c r="A44" s="67"/>
      <c r="B44" s="67"/>
      <c r="D44" s="67"/>
      <c r="E44" s="67"/>
    </row>
    <row r="45" spans="1:10" x14ac:dyDescent="0.35">
      <c r="A45" s="67"/>
      <c r="B45" s="67"/>
      <c r="D45" s="67"/>
      <c r="E45" s="67"/>
    </row>
    <row r="46" spans="1:10" ht="16" customHeight="1" x14ac:dyDescent="0.35"/>
    <row r="47" spans="1:10" x14ac:dyDescent="0.35">
      <c r="G47" s="4"/>
      <c r="H47" s="4"/>
      <c r="I47" s="4"/>
      <c r="J47" s="4"/>
    </row>
    <row r="48" spans="1:10" x14ac:dyDescent="0.35">
      <c r="A48" s="67"/>
      <c r="B48" s="67"/>
      <c r="D48" s="67"/>
      <c r="E48" s="67"/>
      <c r="G48" s="67"/>
      <c r="H48" s="67"/>
      <c r="I48" s="4"/>
      <c r="J48" s="4"/>
    </row>
    <row r="49" spans="1:10" x14ac:dyDescent="0.35">
      <c r="A49" s="67" t="s">
        <v>140</v>
      </c>
      <c r="B49" s="67">
        <v>1222</v>
      </c>
      <c r="D49" s="67" t="s">
        <v>140</v>
      </c>
      <c r="E49" s="67">
        <v>1222</v>
      </c>
      <c r="G49" s="67" t="s">
        <v>140</v>
      </c>
      <c r="H49" s="67">
        <v>1222</v>
      </c>
      <c r="I49" s="4"/>
      <c r="J49" s="4"/>
    </row>
    <row r="50" spans="1:10" x14ac:dyDescent="0.35">
      <c r="A50" s="67" t="s">
        <v>131</v>
      </c>
      <c r="B50" s="67"/>
      <c r="D50" s="67" t="s">
        <v>131</v>
      </c>
      <c r="E50" s="67"/>
      <c r="G50" s="67" t="s">
        <v>131</v>
      </c>
      <c r="H50" s="67"/>
      <c r="I50" s="4"/>
      <c r="J50" s="4"/>
    </row>
    <row r="51" spans="1:10" x14ac:dyDescent="0.35">
      <c r="A51" s="67"/>
      <c r="B51" s="67"/>
      <c r="D51" s="67"/>
      <c r="E51" s="67"/>
      <c r="G51" s="67"/>
      <c r="H51" s="67"/>
      <c r="I51" s="4"/>
      <c r="J51" s="4"/>
    </row>
    <row r="52" spans="1:10" x14ac:dyDescent="0.35">
      <c r="A52" s="67"/>
      <c r="B52" s="67"/>
      <c r="D52" s="67"/>
      <c r="E52" s="67"/>
      <c r="G52" s="67"/>
      <c r="H52" s="67"/>
      <c r="I52" s="4"/>
      <c r="J52" s="4"/>
    </row>
    <row r="53" spans="1:10" x14ac:dyDescent="0.35">
      <c r="A53" s="67"/>
      <c r="B53" s="67"/>
      <c r="D53" s="67"/>
      <c r="E53" s="67"/>
      <c r="G53" s="67"/>
      <c r="H53" s="67"/>
      <c r="I53" s="4"/>
      <c r="J53" s="4"/>
    </row>
    <row r="54" spans="1:10" x14ac:dyDescent="0.35">
      <c r="A54" s="67"/>
      <c r="B54" s="67"/>
      <c r="D54" s="67"/>
      <c r="E54" s="67"/>
      <c r="G54" s="67"/>
      <c r="H54" s="67"/>
      <c r="I54" s="4"/>
      <c r="J54" s="4"/>
    </row>
    <row r="55" spans="1:10" x14ac:dyDescent="0.35">
      <c r="G55" s="4"/>
      <c r="H55" s="4"/>
      <c r="I55" s="4"/>
      <c r="J55" s="4"/>
    </row>
    <row r="56" spans="1:10" x14ac:dyDescent="0.35">
      <c r="A56" s="67"/>
      <c r="B56" s="67"/>
      <c r="D56" s="65"/>
      <c r="G56" s="4"/>
      <c r="H56" s="4"/>
      <c r="I56" s="4"/>
      <c r="J56" s="4"/>
    </row>
    <row r="57" spans="1:10" x14ac:dyDescent="0.35">
      <c r="A57" s="67"/>
      <c r="B57" s="67"/>
      <c r="G57" s="4"/>
      <c r="H57" s="4"/>
      <c r="I57" s="4"/>
      <c r="J57" s="4"/>
    </row>
    <row r="58" spans="1:10" x14ac:dyDescent="0.35">
      <c r="A58" s="67"/>
      <c r="B58" s="67"/>
    </row>
    <row r="59" spans="1:10" x14ac:dyDescent="0.35">
      <c r="A59" s="67"/>
      <c r="B59" s="67"/>
    </row>
    <row r="60" spans="1:10" x14ac:dyDescent="0.35">
      <c r="A60" s="67"/>
      <c r="B60" s="67"/>
    </row>
    <row r="61" spans="1:10" x14ac:dyDescent="0.35">
      <c r="A61" s="67"/>
      <c r="B61" s="67"/>
    </row>
    <row r="62" spans="1:10" x14ac:dyDescent="0.35">
      <c r="A62" s="67"/>
      <c r="B62" s="67"/>
    </row>
  </sheetData>
  <mergeCells count="2">
    <mergeCell ref="A6:A12"/>
    <mergeCell ref="B6:B1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3" name="Button 2">
              <controlPr defaultSize="0" print="0" autoFill="0" autoPict="0" macro="[0]!Новое_расписание">
                <anchor moveWithCells="1" sizeWithCells="1">
                  <from>
                    <xdr:col>0</xdr:col>
                    <xdr:colOff>95250</xdr:colOff>
                    <xdr:row>0</xdr:row>
                    <xdr:rowOff>101600</xdr:rowOff>
                  </from>
                  <to>
                    <xdr:col>2</xdr:col>
                    <xdr:colOff>234950</xdr:colOff>
                    <xdr:row>3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5</vt:i4>
      </vt:variant>
      <vt:variant>
        <vt:lpstr>Именованные диапазоны</vt:lpstr>
      </vt:variant>
      <vt:variant>
        <vt:i4>1</vt:i4>
      </vt:variant>
    </vt:vector>
  </HeadingPairs>
  <TitlesOfParts>
    <vt:vector size="6" baseType="lpstr">
      <vt:lpstr>A(2)</vt:lpstr>
      <vt:lpstr>B(4)</vt:lpstr>
      <vt:lpstr>D(4)</vt:lpstr>
      <vt:lpstr>E(97)</vt:lpstr>
      <vt:lpstr>G(2)</vt:lpstr>
      <vt:lpstr>радиодетали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Мария Сенина</dc:creator>
  <cp:lastModifiedBy>Мария Сенина</cp:lastModifiedBy>
  <dcterms:created xsi:type="dcterms:W3CDTF">2020-11-20T17:11:08Z</dcterms:created>
  <dcterms:modified xsi:type="dcterms:W3CDTF">2020-12-07T09:14:13Z</dcterms:modified>
</cp:coreProperties>
</file>